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hkamoona/Desktop/semester 7/BS/project/"/>
    </mc:Choice>
  </mc:AlternateContent>
  <xr:revisionPtr revIDLastSave="0" documentId="13_ncr:1_{C8453A42-BABE-8541-8E6F-FFD26CD06CC6}" xr6:coauthVersionLast="47" xr6:coauthVersionMax="47" xr10:uidLastSave="{00000000-0000-0000-0000-000000000000}"/>
  <bookViews>
    <workbookView xWindow="0" yWindow="500" windowWidth="28800" windowHeight="16100" activeTab="1" xr2:uid="{CD81723D-F1B3-4985-B780-9BD3BEA19723}"/>
  </bookViews>
  <sheets>
    <sheet name="Sheet1" sheetId="15" r:id="rId1"/>
    <sheet name="Q1" sheetId="14" r:id="rId2"/>
    <sheet name="Z Test" sheetId="2" r:id="rId3"/>
    <sheet name="T Test Unequal Variances" sheetId="3" r:id="rId4"/>
    <sheet name="Z Test Two Sample for Means" sheetId="4" r:id="rId5"/>
    <sheet name="T Test Two Sample Equal Var " sheetId="7" r:id="rId6"/>
    <sheet name="T Test Two Sample Unequal Var" sheetId="9" r:id="rId7"/>
    <sheet name="T Test Paired Two Sample " sheetId="13" r:id="rId8"/>
  </sheets>
  <definedNames>
    <definedName name="_xlchart.v1.0" hidden="1">Sheet1!$A$15:$A$23</definedName>
    <definedName name="_xlchart.v1.1" hidden="1">Sheet1!$B$15:$B$23</definedName>
    <definedName name="_xlchart.v1.2" hidden="1">'Q1'!$Q$3</definedName>
    <definedName name="_xlchart.v1.3" hidden="1">'Q1'!$Q$4:$Q$78</definedName>
    <definedName name="_xlchart.v1.4" hidden="1">'Q1'!$Q$3</definedName>
    <definedName name="_xlchart.v1.5" hidden="1">'Q1'!$Q$4:$Q$78</definedName>
    <definedName name="_xlchart.v1.6" hidden="1">'Q1'!$Q$4:$Q$78</definedName>
    <definedName name="_xlchart.v1.7" hidden="1">'Q1'!$S$3</definedName>
    <definedName name="_xlchart.v1.8" hidden="1">'Q1'!$S$4:$S$78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'T Test Two Sample Unequal Var'!#REF!</definedName>
    <definedName name="solver_typ" localSheetId="6" hidden="1">1</definedName>
    <definedName name="solver_val" localSheetId="6" hidden="1">0</definedName>
    <definedName name="solver_ver" localSheetId="6" hidden="1">3</definedName>
  </definedNames>
  <calcPr calcId="191029"/>
  <pivotCaches>
    <pivotCache cacheId="2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E2" i="4"/>
  <c r="E4" i="2"/>
  <c r="E6" i="2" l="1"/>
  <c r="C2" i="2"/>
</calcChain>
</file>

<file path=xl/sharedStrings.xml><?xml version="1.0" encoding="utf-8"?>
<sst xmlns="http://schemas.openxmlformats.org/spreadsheetml/2006/main" count="1139" uniqueCount="414">
  <si>
    <t>Popiulation Mean</t>
  </si>
  <si>
    <t>One Tailed Probability Value of Z-Test</t>
  </si>
  <si>
    <t>Two Tailed Probability Value of Z-Test</t>
  </si>
  <si>
    <t>=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</si>
  <si>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</si>
  <si>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</si>
  <si>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</si>
  <si>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</si>
  <si>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</si>
  <si>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</si>
  <si>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</si>
  <si>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</si>
  <si>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</si>
  <si>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</si>
  <si>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</si>
  <si>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</si>
  <si>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</si>
  <si>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Arabica Coffee Beans Sold in 1 Day (Packs)</t>
  </si>
  <si>
    <t>Liberica Coffee Beans Sold in 1 Day (Packs)</t>
  </si>
  <si>
    <t>Variance (Arabica)</t>
  </si>
  <si>
    <t>Variance (Liberica)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</si>
  <si>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</si>
  <si>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</si>
  <si>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</si>
  <si>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</si>
  <si>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</si>
  <si>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</si>
  <si>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</si>
  <si>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Arabica</t>
  </si>
  <si>
    <t>Liberica</t>
  </si>
  <si>
    <t>T-Shirts Sold by Shop A (in 1 Day)</t>
  </si>
  <si>
    <t>T-Shirts Sold by Shop B (in 1 Day)</t>
  </si>
  <si>
    <t>t-Test: Two-Sample Assuming Equal Variances</t>
  </si>
  <si>
    <t>Pooled Variance</t>
  </si>
  <si>
    <t>Shop A</t>
  </si>
  <si>
    <t>Shop B</t>
  </si>
  <si>
    <t>Kilometers Travelled by Maruti Car               (in 1 Day)</t>
  </si>
  <si>
    <t>Kilometers Travelled by Honda Car               (in 1 Day)</t>
  </si>
  <si>
    <t>Weight of person on 1st January (Before)</t>
  </si>
  <si>
    <t>Weight of person on 1st April (After 3 Months)</t>
  </si>
  <si>
    <t>t-Test: Paired Two Sample for Means</t>
  </si>
  <si>
    <t>Pearson Correlation</t>
  </si>
  <si>
    <t>On 1st Jan</t>
  </si>
  <si>
    <t>Marks Scored by Students in Final Semester Exams out of 100 (60 Values)</t>
  </si>
  <si>
    <t>Ages of 60 participants in Study X</t>
  </si>
  <si>
    <t>Ages of 60 participants in Study Y</t>
  </si>
  <si>
    <t>Study X</t>
  </si>
  <si>
    <t>Study Y</t>
  </si>
  <si>
    <t>Sr. No. (60 Obs.)</t>
  </si>
  <si>
    <t>On 1st April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</si>
  <si>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</si>
  <si>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</si>
  <si>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</si>
  <si>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</si>
  <si>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</si>
  <si>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</si>
  <si>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</si>
  <si>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</si>
  <si>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</si>
  <si>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</si>
  <si>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</si>
  <si>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</si>
  <si>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</si>
  <si>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</si>
  <si>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</si>
  <si>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</si>
  <si>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</si>
  <si>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</si>
  <si>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</si>
  <si>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</si>
  <si>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</si>
  <si>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</si>
  <si>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</si>
  <si>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</si>
  <si>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</si>
  <si>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</si>
  <si>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</si>
  <si>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</si>
  <si>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</si>
  <si>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</si>
  <si>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</si>
  <si>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</si>
  <si>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</si>
  <si>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</si>
  <si>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</si>
  <si>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</si>
  <si>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</si>
  <si>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</si>
  <si>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</si>
  <si>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</si>
  <si>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</si>
  <si>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</si>
  <si>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</si>
  <si>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</si>
  <si>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</si>
  <si>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</si>
  <si>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</si>
  <si>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</si>
  <si>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</si>
  <si>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</si>
  <si>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</si>
  <si>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</si>
  <si>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</si>
  <si>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</si>
  <si>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</si>
  <si>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</si>
  <si>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</si>
  <si>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</si>
  <si>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</si>
  <si>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</si>
  <si>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</si>
  <si>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</si>
  <si>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</si>
  <si>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</si>
  <si>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</si>
  <si>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</si>
  <si>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</si>
  <si>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</si>
  <si>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</si>
  <si>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</si>
  <si>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</si>
  <si>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</si>
  <si>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</si>
  <si>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</si>
  <si>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</si>
  <si>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</si>
  <si>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</si>
  <si>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</si>
  <si>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</si>
  <si>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</si>
  <si>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</si>
  <si>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</si>
  <si>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</si>
  <si>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</si>
  <si>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</si>
  <si>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</si>
  <si>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</si>
  <si>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</si>
  <si>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</si>
  <si>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</si>
  <si>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</si>
  <si>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</si>
  <si>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</si>
  <si>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</si>
  <si>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</si>
  <si>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</si>
  <si>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</si>
  <si>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</si>
  <si>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</si>
  <si>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</si>
  <si>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</si>
  <si>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</si>
  <si>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</si>
  <si>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</si>
  <si>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</si>
  <si>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</si>
  <si>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</si>
  <si>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</si>
  <si>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</si>
  <si>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</si>
  <si>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</si>
  <si>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</si>
  <si>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</si>
  <si>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</si>
  <si>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</si>
  <si>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</si>
  <si>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</si>
  <si>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</si>
  <si>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</si>
  <si>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</si>
  <si>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</si>
  <si>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</si>
  <si>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</si>
  <si>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</si>
  <si>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</si>
  <si>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</si>
  <si>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</si>
  <si>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</si>
  <si>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</si>
  <si>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</si>
  <si>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</si>
  <si>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</si>
  <si>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</si>
  <si>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</si>
  <si>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</si>
  <si>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</si>
  <si>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</si>
  <si>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</si>
  <si>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</si>
  <si>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</si>
  <si>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</si>
  <si>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</si>
  <si>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</si>
  <si>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</si>
  <si>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</si>
  <si>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</si>
  <si>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</si>
  <si>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</si>
  <si>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</si>
  <si>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</si>
  <si>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</si>
  <si>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</si>
  <si>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</si>
  <si>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</si>
  <si>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</si>
  <si>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</si>
  <si>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</si>
  <si>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</si>
  <si>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</si>
  <si>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</si>
  <si>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</si>
  <si>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</si>
  <si>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</si>
  <si>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</si>
  <si>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</si>
  <si>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</si>
  <si>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</si>
  <si>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</si>
  <si>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</si>
  <si>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</si>
  <si>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</si>
  <si>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</si>
  <si>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</si>
  <si>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</si>
  <si>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</si>
  <si>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</si>
  <si>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</si>
  <si>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</si>
  <si>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</si>
  <si>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</si>
  <si>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</si>
  <si>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</si>
  <si>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</si>
  <si>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</si>
  <si>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</si>
  <si>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</si>
  <si>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</si>
  <si>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</si>
  <si>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</si>
  <si>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</si>
  <si>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</si>
  <si>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</si>
  <si>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</si>
  <si>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</si>
  <si>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</si>
  <si>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</si>
  <si>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</si>
  <si>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</si>
  <si>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</si>
  <si>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</si>
  <si>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</si>
  <si>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</si>
  <si>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</si>
  <si>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</si>
  <si>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</si>
  <si>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</si>
  <si>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</si>
  <si>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</si>
  <si>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</si>
  <si>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</si>
  <si>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</si>
  <si>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</si>
  <si>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</si>
  <si>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</si>
  <si>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</si>
  <si>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</si>
  <si>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</si>
  <si>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</si>
  <si>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</si>
  <si>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</si>
  <si>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</si>
  <si>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</si>
  <si>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</si>
  <si>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</si>
  <si>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</si>
  <si>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</si>
  <si>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</si>
  <si>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</si>
  <si>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</si>
  <si>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</si>
  <si>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</si>
  <si>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</si>
  <si>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</si>
  <si>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</si>
  <si>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</si>
  <si>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</si>
  <si>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</si>
  <si>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</si>
  <si>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</si>
  <si>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</si>
  <si>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</si>
  <si>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</si>
  <si>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</si>
  <si>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</si>
  <si>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</si>
  <si>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</si>
  <si>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</si>
  <si>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</si>
  <si>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</si>
  <si>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</si>
  <si>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</si>
  <si>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</si>
  <si>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</si>
  <si>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</si>
  <si>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</si>
  <si>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</si>
  <si>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</si>
  <si>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</si>
  <si>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</si>
  <si>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</si>
  <si>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</si>
  <si>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</si>
  <si>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</si>
  <si>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</si>
  <si>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</si>
  <si>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</si>
  <si>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</si>
  <si>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</si>
  <si>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</si>
  <si>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</si>
  <si>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</si>
  <si>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</si>
  <si>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</si>
  <si>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</si>
  <si>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</si>
  <si>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</si>
  <si>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</si>
  <si>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</si>
  <si>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</si>
  <si>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</si>
  <si>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</si>
  <si>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</si>
  <si>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</si>
  <si>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</si>
  <si>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</si>
  <si>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</si>
  <si>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</si>
  <si>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</si>
  <si>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</si>
  <si>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</si>
  <si>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</si>
  <si>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</si>
  <si>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</si>
  <si>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</si>
  <si>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</si>
  <si>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</si>
  <si>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</si>
  <si>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</si>
  <si>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</si>
  <si>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</si>
  <si>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</si>
  <si>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</si>
  <si>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</si>
  <si>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</si>
  <si>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</si>
  <si>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</si>
  <si>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</si>
  <si>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</si>
  <si>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</si>
  <si>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</si>
  <si>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</si>
  <si>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</si>
  <si>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</si>
  <si>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</si>
  <si>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</si>
  <si>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</si>
  <si>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</si>
  <si>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</si>
  <si>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</si>
  <si>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</si>
  <si>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</si>
  <si>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</si>
  <si>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</si>
  <si>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</si>
  <si>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</si>
  <si>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</si>
  <si>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</si>
  <si>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</si>
  <si>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</si>
  <si>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</si>
  <si>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</si>
  <si>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</si>
  <si>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</si>
  <si>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</si>
  <si>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</si>
  <si>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</si>
  <si>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</si>
  <si>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</si>
  <si>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</si>
  <si>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</si>
  <si>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Superstore Dataset - Orders Table</t>
  </si>
  <si>
    <t>Grand Total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</si>
  <si>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</si>
  <si>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</si>
  <si>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</si>
  <si>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</si>
  <si>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</si>
  <si>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</si>
  <si>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</si>
  <si>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</si>
  <si>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</si>
  <si>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</si>
  <si>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</si>
  <si>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</si>
  <si>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</si>
  <si>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</si>
  <si>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Descriptive Statistics on Profit Column</t>
  </si>
  <si>
    <t xml:space="preserve">Interpretation - </t>
  </si>
  <si>
    <t>1. The mean of the profit is clearly negative showing bad growth and bad income</t>
  </si>
  <si>
    <t>2. This functions summarizes the profits in the dataset</t>
  </si>
  <si>
    <t>3. The measures of description have also been clearly defined</t>
  </si>
  <si>
    <t>4. The range of profit is minimum - 1665 $ to maximum 298 $</t>
  </si>
  <si>
    <t>Row Labels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</si>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</sst>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5" borderId="0" xfId="0" applyFont="1" applyFill="1"/>
    <xf numFmtId="2" fontId="0" fillId="0" borderId="0" xfId="0" applyNumberForma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0" borderId="0" xfId="0" applyFont="1" applyFill="1"/>
    <xf numFmtId="0" fontId="0" fillId="0" borderId="2" xfId="0" applyFont="1" applyFill="1" applyBorder="1" applyAlignment="1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4" fillId="7" borderId="1" xfId="0" applyFont="1" applyFill="1" applyBorder="1" applyAlignment="1">
      <alignment horizontal="center"/>
    </xf>
    <xf numFmtId="0" fontId="0" fillId="0" borderId="0" xfId="0" pivotButton="1"/>
    <xf numFmtId="0" fontId="5" fillId="0" borderId="0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Continuous"/>
    </xf>
    <xf numFmtId="0" fontId="0" fillId="0" borderId="0" xfId="0" applyNumberFormat="1"/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9" borderId="4" xfId="0" applyFont="1" applyFill="1" applyBorder="1"/>
    <xf numFmtId="0" fontId="0" fillId="0" borderId="0" xfId="0" applyNumberFormat="1" applyFill="1" applyBorder="1" applyAlignment="1"/>
    <xf numFmtId="0" fontId="3" fillId="0" borderId="0" xfId="0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Sheet1!$G$4</c:f>
              <c:strCache>
                <c:ptCount val="1"/>
                <c:pt idx="0">
                  <c:v>Count of 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Sheet1!$F$5:$F$18</c:f>
              <c:strCache>
                <c:ptCount val="14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Paper</c:v>
                </c:pt>
                <c:pt idx="11">
                  <c:v>Phones</c:v>
                </c:pt>
                <c:pt idx="12">
                  <c:v>Storage</c:v>
                </c:pt>
                <c:pt idx="13">
                  <c:v>Tables</c:v>
                </c:pt>
              </c:strCache>
            </c:strRef>
          </c:cat>
          <c:val>
            <c:numRef>
              <c:f>Sheet1!$G$5:$G$18</c:f>
              <c:numCache>
                <c:formatCode>General</c:formatCode>
                <c:ptCount val="14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12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B-914F-BF6B-77C8C3DEE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Bar</a:t>
            </a:r>
            <a:r>
              <a:rPr lang="en-GB" baseline="0"/>
              <a:t> Chart - Profit Data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'Q1'!$S$4:$S$78</c:f>
              <c:numCache>
                <c:formatCode>General</c:formatCode>
                <c:ptCount val="75"/>
                <c:pt idx="0">
                  <c:v>41.913600000000002</c:v>
                </c:pt>
                <c:pt idx="1">
                  <c:v>219.58199999999997</c:v>
                </c:pt>
                <c:pt idx="2">
                  <c:v>6.8713999999999995</c:v>
                </c:pt>
                <c:pt idx="3">
                  <c:v>-383.03100000000006</c:v>
                </c:pt>
                <c:pt idx="4">
                  <c:v>2.5163999999999991</c:v>
                </c:pt>
                <c:pt idx="5">
                  <c:v>14.169399999999996</c:v>
                </c:pt>
                <c:pt idx="6">
                  <c:v>1.9656000000000002</c:v>
                </c:pt>
                <c:pt idx="7">
                  <c:v>90.715200000000038</c:v>
                </c:pt>
                <c:pt idx="8">
                  <c:v>5.7824999999999998</c:v>
                </c:pt>
                <c:pt idx="9">
                  <c:v>34.469999999999992</c:v>
                </c:pt>
                <c:pt idx="10">
                  <c:v>85.309199999999805</c:v>
                </c:pt>
                <c:pt idx="11">
                  <c:v>68.356800000000021</c:v>
                </c:pt>
                <c:pt idx="12">
                  <c:v>5.4432</c:v>
                </c:pt>
                <c:pt idx="13">
                  <c:v>132.59219999999993</c:v>
                </c:pt>
                <c:pt idx="14">
                  <c:v>-123.858</c:v>
                </c:pt>
                <c:pt idx="15">
                  <c:v>-3.8160000000000016</c:v>
                </c:pt>
                <c:pt idx="16">
                  <c:v>13.317599999999999</c:v>
                </c:pt>
                <c:pt idx="17">
                  <c:v>9.9899999999999949</c:v>
                </c:pt>
                <c:pt idx="18">
                  <c:v>2.4823999999999993</c:v>
                </c:pt>
                <c:pt idx="19">
                  <c:v>16.010999999999981</c:v>
                </c:pt>
                <c:pt idx="20">
                  <c:v>7.3839999999999986</c:v>
                </c:pt>
                <c:pt idx="21">
                  <c:v>5.0595999999999997</c:v>
                </c:pt>
                <c:pt idx="22">
                  <c:v>15.688400000000001</c:v>
                </c:pt>
                <c:pt idx="23">
                  <c:v>-1.0196000000000005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11.774100000000004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15.524999999999991</c:v>
                </c:pt>
                <c:pt idx="30">
                  <c:v>1.1015999999999997</c:v>
                </c:pt>
                <c:pt idx="31">
                  <c:v>9.7091999999999885</c:v>
                </c:pt>
                <c:pt idx="32">
                  <c:v>-5.7149999999999999</c:v>
                </c:pt>
                <c:pt idx="33">
                  <c:v>3.5460000000000007</c:v>
                </c:pt>
                <c:pt idx="34">
                  <c:v>9.9467999999999979</c:v>
                </c:pt>
                <c:pt idx="35">
                  <c:v>123.47369999999989</c:v>
                </c:pt>
                <c:pt idx="36">
                  <c:v>-147.96300000000002</c:v>
                </c:pt>
                <c:pt idx="37">
                  <c:v>35.414999999999999</c:v>
                </c:pt>
                <c:pt idx="38">
                  <c:v>-46.976400000000012</c:v>
                </c:pt>
                <c:pt idx="39">
                  <c:v>-15.146999999999991</c:v>
                </c:pt>
                <c:pt idx="40">
                  <c:v>41.756399999999957</c:v>
                </c:pt>
                <c:pt idx="41">
                  <c:v>16.556399999999996</c:v>
                </c:pt>
                <c:pt idx="42">
                  <c:v>3.8939999999999912</c:v>
                </c:pt>
                <c:pt idx="43">
                  <c:v>9.5616000000000092</c:v>
                </c:pt>
                <c:pt idx="44">
                  <c:v>19.7714</c:v>
                </c:pt>
                <c:pt idx="45">
                  <c:v>8.2061999999999991</c:v>
                </c:pt>
                <c:pt idx="46">
                  <c:v>8.4783999999999935</c:v>
                </c:pt>
                <c:pt idx="47">
                  <c:v>4.9500000000000011</c:v>
                </c:pt>
                <c:pt idx="48">
                  <c:v>6.104000000000001</c:v>
                </c:pt>
                <c:pt idx="49">
                  <c:v>17.9634</c:v>
                </c:pt>
                <c:pt idx="50">
                  <c:v>35.334599999999995</c:v>
                </c:pt>
                <c:pt idx="51">
                  <c:v>2.9567999999999999</c:v>
                </c:pt>
                <c:pt idx="52">
                  <c:v>17.098099999999988</c:v>
                </c:pt>
                <c:pt idx="53">
                  <c:v>6.2566000000000006</c:v>
                </c:pt>
                <c:pt idx="54">
                  <c:v>298.68549999999999</c:v>
                </c:pt>
                <c:pt idx="55">
                  <c:v>52.139999999999986</c:v>
                </c:pt>
                <c:pt idx="56">
                  <c:v>15.552000000000001</c:v>
                </c:pt>
                <c:pt idx="57">
                  <c:v>7.0980000000000061</c:v>
                </c:pt>
                <c:pt idx="58">
                  <c:v>6.9888000000000003</c:v>
                </c:pt>
                <c:pt idx="59">
                  <c:v>3.3000000000000007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6.1512000000000011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22.332800000000006</c:v>
                </c:pt>
                <c:pt idx="66">
                  <c:v>-15.222500000000011</c:v>
                </c:pt>
                <c:pt idx="67">
                  <c:v>111.30239999999998</c:v>
                </c:pt>
                <c:pt idx="68">
                  <c:v>62.988</c:v>
                </c:pt>
                <c:pt idx="69">
                  <c:v>35.663599999999995</c:v>
                </c:pt>
                <c:pt idx="70">
                  <c:v>1.7309999999999999</c:v>
                </c:pt>
                <c:pt idx="71">
                  <c:v>8.7629999999999999</c:v>
                </c:pt>
                <c:pt idx="72">
                  <c:v>-114.39120000000003</c:v>
                </c:pt>
                <c:pt idx="73">
                  <c:v>1.2129999999999974</c:v>
                </c:pt>
                <c:pt idx="74">
                  <c:v>-18.196000000000002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F-FE45-BCE7-DB593851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588224"/>
        <c:axId val="449175232"/>
      </c:barChart>
      <c:catAx>
        <c:axId val="44958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175232"/>
        <c:crosses val="autoZero"/>
        <c:auto val="1"/>
        <c:lblAlgn val="ctr"/>
        <c:lblOffset val="100"/>
        <c:noMultiLvlLbl val="0"/>
      </c:catAx>
      <c:valAx>
        <c:axId val="4491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Pie</a:t>
            </a:r>
            <a:r>
              <a:rPr lang="en-GB" baseline="0"/>
              <a:t> Chart - Sub - category data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Sheet1!$G$4</c:f>
              <c:strCache>
                <c:ptCount val="1"/>
                <c:pt idx="0">
                  <c:v>Count of 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A-1645-983B-E96288A423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A-1645-983B-E96288A423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A-1645-983B-E96288A423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CA-1645-983B-E96288A423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CA-1645-983B-E96288A423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CA-1645-983B-E96288A423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CA-1645-983B-E96288A423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CA-1645-983B-E96288A423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CA-1645-983B-E96288A423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CA-1645-983B-E96288A423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CA-1645-983B-E96288A423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CA-1645-983B-E96288A4238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CA-1645-983B-E96288A4238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CA-1645-983B-E96288A42389}"/>
              </c:ext>
            </c:extLst>
          </c:dPt>
          <c:cat>
            <c:strRef>
              <c:f>Sheet1!$F$5:$F$18</c:f>
              <c:strCache>
                <c:ptCount val="14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Paper</c:v>
                </c:pt>
                <c:pt idx="11">
                  <c:v>Phones</c:v>
                </c:pt>
                <c:pt idx="12">
                  <c:v>Storage</c:v>
                </c:pt>
                <c:pt idx="13">
                  <c:v>Tables</c:v>
                </c:pt>
              </c:strCache>
            </c:strRef>
          </c:cat>
          <c:val>
            <c:numRef>
              <c:f>Sheet1!$G$5:$G$18</c:f>
              <c:numCache>
                <c:formatCode>General</c:formatCode>
                <c:ptCount val="14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12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1CA-1645-983B-E96288A4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52BD988-B652-A147-9A6C-E3928BBFD684}" formatIdx="0">
          <cx:dataId val="0"/>
          <cx:layoutPr>
            <cx:binning intervalClosed="r"/>
          </cx:layoutPr>
        </cx:series>
        <cx:series layoutId="clusteredColumn" hidden="1" uniqueId="{205CB329-3A34-8B41-980A-DF5569B5FB31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Histogram -Sales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-Sales Data</a:t>
          </a:r>
        </a:p>
      </cx:txPr>
    </cx:title>
    <cx:plotArea>
      <cx:plotAreaRegion>
        <cx:series layoutId="clusteredColumn" uniqueId="{7AEAA28D-3697-B949-BE23-BBF2646AE6B7}">
          <cx:tx>
            <cx:txData>
              <cx:f>_xlchart.v1.4</cx:f>
              <cx:v>Sales</cx:v>
            </cx:txData>
          </cx:tx>
          <cx:dataId val="0"/>
          <cx:layoutPr>
            <cx:binning intervalClosed="r">
              <cx:binSize val="2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793750</xdr:colOff>
      <xdr:row>11</xdr:row>
      <xdr:rowOff>139700</xdr:rowOff>
    </xdr:from>
    <xdr:to>
      <xdr:col>20</xdr:col>
      <xdr:colOff>711200</xdr:colOff>
      <xdr:row>27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0F427A8-FB73-6E40-9206-98459E0FFB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1950" y="2235200"/>
              <a:ext cx="5695950" cy="298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304800</xdr:colOff>
      <xdr:row>9</xdr:row>
      <xdr:rowOff>152400</xdr:rowOff>
    </xdr:from>
    <xdr:to>
      <xdr:col>17</xdr:col>
      <xdr:colOff>673100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0BD03-0F0E-3B48-9B56-C681D6C49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104109</xdr:colOff>
      <xdr:row>27</xdr:row>
      <xdr:rowOff>113873</xdr:rowOff>
    </xdr:from>
    <xdr:to>
      <xdr:col>37</xdr:col>
      <xdr:colOff>485167</xdr:colOff>
      <xdr:row>45</xdr:row>
      <xdr:rowOff>114157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859AD1C-64A6-264E-A792-956507E5AC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55907" y="5250952"/>
              <a:ext cx="8728811" cy="3339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93336</xdr:colOff>
      <xdr:row>2</xdr:row>
      <xdr:rowOff>51413</xdr:rowOff>
    </xdr:from>
    <xdr:to>
      <xdr:col>37</xdr:col>
      <xdr:colOff>459035</xdr:colOff>
      <xdr:row>26</xdr:row>
      <xdr:rowOff>91807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28535D-C6ED-C548-A99E-E79358FC8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71348</xdr:colOff>
      <xdr:row>47</xdr:row>
      <xdr:rowOff>156966</xdr:rowOff>
    </xdr:from>
    <xdr:to>
      <xdr:col>36</xdr:col>
      <xdr:colOff>546670</xdr:colOff>
      <xdr:row>69</xdr:row>
      <xdr:rowOff>38242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DB7AFA8-73F6-0248-A6B1-78C11C17A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486.862880555556" createdVersion="7" refreshedVersion="7" minRefreshableVersion="3" recordCount="75" xr:uid="{77CFD446-C6AE-F24B-A24B-E356945A2D25}">
  <cacheSource type="worksheet">
    <worksheetSource ref="A3:S78" sheet="Q1"/>
  </cacheSource>
  <cacheFields count="20">
    <cacheField name="Row ID" numFmtId="0">
      <sharedItems containsSemiMixedTypes="0" containsString="0" containsNumber="1" containsInteger="1" minValue="1" maxValue="75"/>
    </cacheField>
    <cacheField name="Order ID" numFmtId="0">
      <sharedItems count="34">
        <s v="CA-2013-152156"/>
        <s v="CA-2013-138688"/>
        <s v="US-2012-108966"/>
        <s v="CA-2011-115812"/>
        <s v="CA-2014-114412"/>
        <s v="CA-2013-161389"/>
        <s v="US-2012-118983"/>
        <s v="CA-2011-105893"/>
        <s v="CA-2011-167164"/>
        <s v="CA-2011-143336"/>
        <s v="CA-2013-137330"/>
        <s v="US-2014-156909"/>
        <s v="CA-2012-106320"/>
        <s v="CA-2013-121755"/>
        <s v="US-2012-150630"/>
        <s v="CA-2014-107727"/>
        <s v="CA-2013-117590"/>
        <s v="CA-2012-117415"/>
        <s v="CA-2014-120999"/>
        <s v="CA-2013-101343"/>
        <s v="CA-2014-139619"/>
        <s v="CA-2013-118255"/>
        <s v="CA-2011-146703"/>
        <s v="CA-2013-169194"/>
        <s v="CA-2012-115742"/>
        <s v="CA-2013-105816"/>
        <s v="CA-2013-111682"/>
        <s v="CA-2012-135545"/>
        <s v="US-2012-164175"/>
        <s v="CA-2011-106376"/>
        <s v="CA-2013-119823"/>
        <s v="CA-2013-106075"/>
        <s v="CA-2014-114440"/>
        <s v="US-2012-134026"/>
      </sharedItems>
    </cacheField>
    <cacheField name="Order Date" numFmtId="14">
      <sharedItems containsSemiMixedTypes="0" containsNonDate="0" containsDate="1" containsString="0" minDate="2011-05-13T00:00:00" maxDate="2014-10-21T00:00:00"/>
    </cacheField>
    <cacheField name="Ship Date" numFmtId="14">
      <sharedItems containsSemiMixedTypes="0" containsNonDate="0" containsDate="1" containsString="0" minDate="2011-05-15T00:00:00" maxDate="2014-10-25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4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</sharedItems>
    </cacheField>
    <cacheField name="Product Name" numFmtId="0">
      <sharedItems/>
    </cacheField>
    <cacheField name="Sales" numFmtId="0">
      <sharedItems containsSemiMixedTypes="0" containsString="0" containsNumber="1" minValue="1.68" maxValue="3083.4300000000003" count="75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</sharedItems>
    </cacheField>
    <cacheField name="Quantity" numFmtId="0">
      <sharedItems containsSemiMixedTypes="0" containsString="0" containsNumber="1" containsInteger="1" minValue="1" maxValue="9" count="9">
        <n v="2"/>
        <n v="3"/>
        <n v="5"/>
        <n v="7"/>
        <n v="4"/>
        <n v="6"/>
        <n v="9"/>
        <n v="1"/>
        <n v="8"/>
      </sharedItems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"/>
    <x v="0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0"/>
    <s v="Bush Somerset Collection Bookcase"/>
    <x v="0"/>
    <x v="0"/>
    <n v="41.913600000000002"/>
  </r>
  <r>
    <n v="2"/>
    <x v="0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x v="1"/>
    <x v="1"/>
    <n v="219.58199999999997"/>
  </r>
  <r>
    <n v="3"/>
    <x v="1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x v="2"/>
    <x v="0"/>
    <n v="6.8713999999999995"/>
  </r>
  <r>
    <n v="4"/>
    <x v="2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x v="3"/>
    <x v="2"/>
    <n v="-383.03100000000006"/>
  </r>
  <r>
    <n v="5"/>
    <x v="2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x v="4"/>
    <x v="0"/>
    <n v="2.5163999999999991"/>
  </r>
  <r>
    <n v="6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x v="5"/>
    <x v="3"/>
    <n v="14.169399999999996"/>
  </r>
  <r>
    <n v="7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6"/>
    <s v="Newell 322"/>
    <x v="6"/>
    <x v="4"/>
    <n v="1.9656000000000002"/>
  </r>
  <r>
    <n v="8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x v="7"/>
    <x v="5"/>
    <n v="90.715200000000038"/>
  </r>
  <r>
    <n v="9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x v="8"/>
    <x v="1"/>
    <n v="5.7824999999999998"/>
  </r>
  <r>
    <n v="10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x v="9"/>
    <x v="2"/>
    <n v="34.469999999999992"/>
  </r>
  <r>
    <n v="11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x v="10"/>
    <x v="6"/>
    <n v="85.309199999999805"/>
  </r>
  <r>
    <n v="12"/>
    <x v="3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7"/>
    <s v="Konftel 250 Conference phone - Charcoal black"/>
    <x v="11"/>
    <x v="4"/>
    <n v="68.356800000000021"/>
  </r>
  <r>
    <n v="13"/>
    <x v="4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10"/>
    <s v="Xerox 1967"/>
    <x v="12"/>
    <x v="1"/>
    <n v="5.4432"/>
  </r>
  <r>
    <n v="14"/>
    <x v="5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x v="13"/>
    <x v="1"/>
    <n v="132.59219999999993"/>
  </r>
  <r>
    <n v="15"/>
    <x v="6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x v="14"/>
    <x v="2"/>
    <n v="-123.858"/>
  </r>
  <r>
    <n v="16"/>
    <x v="6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x v="15"/>
    <x v="1"/>
    <n v="-3.8160000000000016"/>
  </r>
  <r>
    <n v="17"/>
    <x v="7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x v="16"/>
    <x v="5"/>
    <n v="13.317599999999999"/>
  </r>
  <r>
    <n v="18"/>
    <x v="8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x v="4"/>
    <s v="Fellowes Super Stor/Drawer"/>
    <x v="17"/>
    <x v="0"/>
    <n v="9.9899999999999949"/>
  </r>
  <r>
    <n v="19"/>
    <x v="9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6"/>
    <s v="Newell 341"/>
    <x v="18"/>
    <x v="0"/>
    <n v="2.4823999999999993"/>
  </r>
  <r>
    <n v="20"/>
    <x v="9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x v="19"/>
    <x v="1"/>
    <n v="16.010999999999981"/>
  </r>
  <r>
    <n v="21"/>
    <x v="9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x v="20"/>
    <x v="4"/>
    <n v="7.3839999999999986"/>
  </r>
  <r>
    <n v="22"/>
    <x v="1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x v="6"/>
    <s v="Newell 318"/>
    <x v="21"/>
    <x v="3"/>
    <n v="5.0595999999999997"/>
  </r>
  <r>
    <n v="23"/>
    <x v="1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x v="22"/>
    <x v="3"/>
    <n v="15.688400000000001"/>
  </r>
  <r>
    <n v="24"/>
    <x v="11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x v="23"/>
    <x v="0"/>
    <n v="-1.0196000000000005"/>
  </r>
  <r>
    <n v="25"/>
    <x v="12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x v="24"/>
    <x v="1"/>
    <n v="240.26490000000001"/>
  </r>
  <r>
    <n v="26"/>
    <x v="13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x v="25"/>
    <x v="0"/>
    <n v="4.2224000000000004"/>
  </r>
  <r>
    <n v="27"/>
    <x v="13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x v="11"/>
    <s v="Imation 8GB Mini TravelDrive USB 2.0 Flash Drive"/>
    <x v="26"/>
    <x v="1"/>
    <n v="11.774100000000004"/>
  </r>
  <r>
    <n v="28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x v="27"/>
    <x v="3"/>
    <n v="-1665.0522000000001"/>
  </r>
  <r>
    <n v="29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x v="28"/>
    <x v="0"/>
    <n v="-7.0532000000000004"/>
  </r>
  <r>
    <n v="30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x v="29"/>
    <x v="1"/>
    <n v="15.524999999999991"/>
  </r>
  <r>
    <n v="31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x v="30"/>
    <x v="0"/>
    <n v="1.1015999999999997"/>
  </r>
  <r>
    <n v="32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x v="31"/>
    <x v="5"/>
    <n v="9.7091999999999885"/>
  </r>
  <r>
    <n v="33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x v="32"/>
    <x v="5"/>
    <n v="-5.7149999999999999"/>
  </r>
  <r>
    <n v="34"/>
    <x v="14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6"/>
    <s v="Lumber Crayons"/>
    <x v="33"/>
    <x v="0"/>
    <n v="3.5460000000000007"/>
  </r>
  <r>
    <n v="35"/>
    <x v="15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x v="10"/>
    <s v="Staples"/>
    <x v="34"/>
    <x v="1"/>
    <n v="9.9467999999999979"/>
  </r>
  <r>
    <n v="36"/>
    <x v="16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TEC-PH-10004977"/>
    <s v="Technology"/>
    <x v="7"/>
    <s v="GE 30524EE4"/>
    <x v="35"/>
    <x v="3"/>
    <n v="123.47369999999989"/>
  </r>
  <r>
    <n v="37"/>
    <x v="16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x v="36"/>
    <x v="2"/>
    <n v="-147.96300000000002"/>
  </r>
  <r>
    <n v="38"/>
    <x v="17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2"/>
    <s v="#10-4 1/8&quot; x 9 1/2&quot; Premium Diagonal Seam Envelopes"/>
    <x v="37"/>
    <x v="6"/>
    <n v="35.414999999999999"/>
  </r>
  <r>
    <n v="39"/>
    <x v="17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x v="38"/>
    <x v="1"/>
    <n v="-46.976400000000012"/>
  </r>
  <r>
    <n v="40"/>
    <x v="17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x v="39"/>
    <x v="1"/>
    <n v="-15.146999999999991"/>
  </r>
  <r>
    <n v="41"/>
    <x v="17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x v="7"/>
    <s v="Plantronics HL10 Handset Lifter"/>
    <x v="40"/>
    <x v="4"/>
    <n v="41.756399999999957"/>
  </r>
  <r>
    <n v="42"/>
    <x v="18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7"/>
    <s v="Panasonic Kx-TS550"/>
    <x v="41"/>
    <x v="4"/>
    <n v="16.556399999999996"/>
  </r>
  <r>
    <n v="43"/>
    <x v="19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x v="42"/>
    <x v="0"/>
    <n v="3.8939999999999912"/>
  </r>
  <r>
    <n v="44"/>
    <x v="20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x v="43"/>
    <x v="0"/>
    <n v="9.5616000000000092"/>
  </r>
  <r>
    <n v="45"/>
    <x v="21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x v="44"/>
    <x v="0"/>
    <n v="19.7714"/>
  </r>
  <r>
    <n v="46"/>
    <x v="21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x v="45"/>
    <x v="0"/>
    <n v="8.2061999999999991"/>
  </r>
  <r>
    <n v="47"/>
    <x v="22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x v="46"/>
    <x v="4"/>
    <n v="8.4783999999999935"/>
  </r>
  <r>
    <n v="48"/>
    <x v="23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s v="Technology"/>
    <x v="11"/>
    <s v="Imation 8gb Micro Traveldrive Usb 2.0 Flash Drive"/>
    <x v="47"/>
    <x v="1"/>
    <n v="4.9500000000000011"/>
  </r>
  <r>
    <n v="49"/>
    <x v="23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x v="48"/>
    <x v="0"/>
    <n v="6.104000000000001"/>
  </r>
  <r>
    <n v="50"/>
    <x v="24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x v="49"/>
    <x v="5"/>
    <n v="17.9634"/>
  </r>
  <r>
    <n v="51"/>
    <x v="24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2"/>
    <s v="Avery 485"/>
    <x v="50"/>
    <x v="5"/>
    <n v="35.334599999999995"/>
  </r>
  <r>
    <n v="52"/>
    <x v="24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x v="51"/>
    <x v="0"/>
    <n v="2.9567999999999999"/>
  </r>
  <r>
    <n v="53"/>
    <x v="24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x v="52"/>
    <x v="7"/>
    <n v="17.098099999999988"/>
  </r>
  <r>
    <n v="54"/>
    <x v="25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13"/>
    <s v="Advantus Push Pins"/>
    <x v="53"/>
    <x v="3"/>
    <n v="6.2566000000000006"/>
  </r>
  <r>
    <n v="55"/>
    <x v="25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x v="54"/>
    <x v="2"/>
    <n v="298.68549999999999"/>
  </r>
  <r>
    <n v="56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x v="55"/>
    <x v="5"/>
    <n v="52.139999999999986"/>
  </r>
  <r>
    <n v="57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s v="Office Supplies"/>
    <x v="10"/>
    <s v="Xerox 232"/>
    <x v="56"/>
    <x v="2"/>
    <n v="15.552000000000001"/>
  </r>
  <r>
    <n v="58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s v="Furniture"/>
    <x v="1"/>
    <s v="Novimex Turbo Task Chair"/>
    <x v="57"/>
    <x v="2"/>
    <n v="7.0980000000000061"/>
  </r>
  <r>
    <n v="59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x v="58"/>
    <x v="0"/>
    <n v="6.9888000000000003"/>
  </r>
  <r>
    <n v="60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s v="Technology"/>
    <x v="11"/>
    <s v="Imation 8gb Micro Traveldrive Usb 2.0 Flash Drive"/>
    <x v="59"/>
    <x v="0"/>
    <n v="3.3000000000000007"/>
  </r>
  <r>
    <n v="61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s v="Office Supplies"/>
    <x v="8"/>
    <s v="Plastic Binding Combs"/>
    <x v="60"/>
    <x v="4"/>
    <n v="16.361999999999998"/>
  </r>
  <r>
    <n v="62"/>
    <x v="26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s v="Office Supplies"/>
    <x v="6"/>
    <s v="Prang Dustless Chalk Sticks"/>
    <x v="61"/>
    <x v="7"/>
    <n v="0.84"/>
  </r>
  <r>
    <n v="63"/>
    <x v="27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x v="62"/>
    <x v="0"/>
    <n v="6.1512000000000011"/>
  </r>
  <r>
    <n v="64"/>
    <x v="27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x v="63"/>
    <x v="5"/>
    <n v="9.3612000000000002"/>
  </r>
  <r>
    <n v="65"/>
    <x v="27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10"/>
    <s v="Xerox 1943"/>
    <x v="64"/>
    <x v="1"/>
    <n v="68.963099999999997"/>
  </r>
  <r>
    <n v="66"/>
    <x v="27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x v="65"/>
    <x v="4"/>
    <n v="22.332800000000006"/>
  </r>
  <r>
    <n v="67"/>
    <x v="28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x v="66"/>
    <x v="2"/>
    <n v="-15.222500000000011"/>
  </r>
  <r>
    <n v="68"/>
    <x v="29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x v="67"/>
    <x v="8"/>
    <n v="111.30239999999998"/>
  </r>
  <r>
    <n v="69"/>
    <x v="29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7"/>
    <s v="netTALK DUO VoIP Telephone Service"/>
    <x v="68"/>
    <x v="4"/>
    <n v="62.988"/>
  </r>
  <r>
    <n v="70"/>
    <x v="30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x v="69"/>
    <x v="0"/>
    <n v="35.663599999999995"/>
  </r>
  <r>
    <n v="71"/>
    <x v="31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x v="70"/>
    <x v="7"/>
    <n v="1.7309999999999999"/>
  </r>
  <r>
    <n v="72"/>
    <x v="32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x v="71"/>
    <x v="1"/>
    <n v="8.7629999999999999"/>
  </r>
  <r>
    <n v="73"/>
    <x v="33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1"/>
    <s v="High-Back Leather Manager's Chair"/>
    <x v="72"/>
    <x v="8"/>
    <n v="-114.39120000000003"/>
  </r>
  <r>
    <n v="74"/>
    <x v="33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x v="73"/>
    <x v="0"/>
    <n v="1.2129999999999974"/>
  </r>
  <r>
    <n v="75"/>
    <x v="33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x v="74"/>
    <x v="7"/>
    <n v="-18.196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48970-C1AA-DB47-8931-82F711BA8077}" name="PivotTable4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A79" firstHeaderRow="1" firstDataRow="1" firstDataCol="1"/>
  <pivotFields count="20">
    <pivotField showAll="0"/>
    <pivotField showAll="0">
      <items count="35">
        <item x="7"/>
        <item x="29"/>
        <item x="3"/>
        <item x="9"/>
        <item x="22"/>
        <item x="8"/>
        <item x="12"/>
        <item x="24"/>
        <item x="17"/>
        <item x="27"/>
        <item x="19"/>
        <item x="25"/>
        <item x="31"/>
        <item x="26"/>
        <item x="16"/>
        <item x="21"/>
        <item x="30"/>
        <item x="13"/>
        <item x="10"/>
        <item x="1"/>
        <item x="0"/>
        <item x="5"/>
        <item x="23"/>
        <item x="15"/>
        <item x="4"/>
        <item x="32"/>
        <item x="18"/>
        <item x="20"/>
        <item x="2"/>
        <item x="6"/>
        <item x="33"/>
        <item x="14"/>
        <item x="28"/>
        <item x="1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3"/>
        <item t="default"/>
      </items>
    </pivotField>
    <pivotField showAll="0"/>
    <pivotField axis="axisRow" showAll="0">
      <items count="76">
        <item x="61"/>
        <item x="15"/>
        <item x="30"/>
        <item x="70"/>
        <item x="51"/>
        <item x="32"/>
        <item x="6"/>
        <item x="18"/>
        <item x="28"/>
        <item x="25"/>
        <item x="62"/>
        <item x="58"/>
        <item x="2"/>
        <item x="53"/>
        <item x="12"/>
        <item x="33"/>
        <item x="45"/>
        <item x="8"/>
        <item x="71"/>
        <item x="21"/>
        <item x="48"/>
        <item x="4"/>
        <item x="20"/>
        <item x="63"/>
        <item x="34"/>
        <item x="59"/>
        <item x="56"/>
        <item x="49"/>
        <item x="47"/>
        <item x="44"/>
        <item x="60"/>
        <item x="5"/>
        <item x="17"/>
        <item x="22"/>
        <item x="14"/>
        <item x="23"/>
        <item x="74"/>
        <item x="50"/>
        <item x="69"/>
        <item x="42"/>
        <item x="65"/>
        <item x="31"/>
        <item x="52"/>
        <item x="26"/>
        <item x="43"/>
        <item x="73"/>
        <item x="37"/>
        <item x="9"/>
        <item x="29"/>
        <item x="64"/>
        <item x="41"/>
        <item x="68"/>
        <item x="36"/>
        <item x="55"/>
        <item x="46"/>
        <item x="39"/>
        <item x="66"/>
        <item x="19"/>
        <item x="0"/>
        <item x="57"/>
        <item x="40"/>
        <item x="13"/>
        <item x="38"/>
        <item x="16"/>
        <item x="1"/>
        <item x="72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showAll="0"/>
  </pivotFields>
  <rowFields count="1">
    <field x="17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62BB-50D8-A74C-BAA4-A842A6E7D994}">
  <dimension ref="A3:G79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4" width="3.1640625" bestFit="1" customWidth="1"/>
    <col min="5" max="5" width="2.1640625" bestFit="1" customWidth="1"/>
    <col min="6" max="6" width="9.83203125" bestFit="1" customWidth="1"/>
    <col min="7" max="7" width="14.83203125" bestFit="1" customWidth="1"/>
    <col min="8" max="10" width="2.1640625" bestFit="1" customWidth="1"/>
    <col min="11" max="11" width="10" bestFit="1" customWidth="1"/>
  </cols>
  <sheetData>
    <row r="3" spans="1:7" x14ac:dyDescent="0.2">
      <c r="A3" s="21" t="s">
        <v>412</v>
      </c>
    </row>
    <row r="4" spans="1:7" x14ac:dyDescent="0.2">
      <c r="A4" s="25">
        <v>1.68</v>
      </c>
      <c r="F4" s="30" t="s">
        <v>412</v>
      </c>
      <c r="G4" s="30" t="s">
        <v>413</v>
      </c>
    </row>
    <row r="5" spans="1:7" x14ac:dyDescent="0.2">
      <c r="A5" s="25">
        <v>2.5439999999999996</v>
      </c>
      <c r="F5" s="25" t="s">
        <v>209</v>
      </c>
      <c r="G5" s="24">
        <v>5</v>
      </c>
    </row>
    <row r="6" spans="1:7" x14ac:dyDescent="0.2">
      <c r="A6" s="25">
        <v>3.2640000000000002</v>
      </c>
      <c r="F6" s="25" t="s">
        <v>126</v>
      </c>
      <c r="G6" s="24">
        <v>3</v>
      </c>
    </row>
    <row r="7" spans="1:7" x14ac:dyDescent="0.2">
      <c r="A7" s="25">
        <v>4.6159999999999997</v>
      </c>
      <c r="F7" s="25" t="s">
        <v>116</v>
      </c>
      <c r="G7" s="24">
        <v>7</v>
      </c>
    </row>
    <row r="8" spans="1:7" x14ac:dyDescent="0.2">
      <c r="A8" s="25">
        <v>6.16</v>
      </c>
      <c r="F8" s="25" t="s">
        <v>123</v>
      </c>
      <c r="G8" s="24">
        <v>12</v>
      </c>
    </row>
    <row r="9" spans="1:7" x14ac:dyDescent="0.2">
      <c r="A9" s="25">
        <v>6.8580000000000014</v>
      </c>
      <c r="F9" s="25" t="s">
        <v>81</v>
      </c>
      <c r="G9" s="24">
        <v>3</v>
      </c>
    </row>
    <row r="10" spans="1:7" x14ac:dyDescent="0.2">
      <c r="A10" s="25">
        <v>7.28</v>
      </c>
      <c r="F10" s="25" t="s">
        <v>84</v>
      </c>
      <c r="G10" s="24">
        <v>7</v>
      </c>
    </row>
    <row r="11" spans="1:7" x14ac:dyDescent="0.2">
      <c r="A11" s="25">
        <v>8.56</v>
      </c>
      <c r="F11" s="25" t="s">
        <v>221</v>
      </c>
      <c r="G11" s="24">
        <v>2</v>
      </c>
    </row>
    <row r="12" spans="1:7" x14ac:dyDescent="0.2">
      <c r="A12" s="25">
        <v>9.6180000000000021</v>
      </c>
      <c r="F12" s="25" t="s">
        <v>317</v>
      </c>
      <c r="G12" s="24">
        <v>1</v>
      </c>
    </row>
    <row r="13" spans="1:7" x14ac:dyDescent="0.2">
      <c r="A13" s="25">
        <v>11.648000000000001</v>
      </c>
      <c r="F13" s="25" t="s">
        <v>113</v>
      </c>
      <c r="G13" s="24">
        <v>6</v>
      </c>
    </row>
    <row r="14" spans="1:7" x14ac:dyDescent="0.2">
      <c r="A14" s="25">
        <v>13.98</v>
      </c>
      <c r="F14" s="25" t="s">
        <v>95</v>
      </c>
      <c r="G14" s="24">
        <v>2</v>
      </c>
    </row>
    <row r="15" spans="1:7" x14ac:dyDescent="0.2">
      <c r="A15" s="25">
        <v>14.56</v>
      </c>
      <c r="F15" s="25" t="s">
        <v>138</v>
      </c>
      <c r="G15" s="24">
        <v>7</v>
      </c>
    </row>
    <row r="16" spans="1:7" x14ac:dyDescent="0.2">
      <c r="A16" s="25">
        <v>14.62</v>
      </c>
      <c r="F16" s="25" t="s">
        <v>120</v>
      </c>
      <c r="G16" s="24">
        <v>9</v>
      </c>
    </row>
    <row r="17" spans="1:7" x14ac:dyDescent="0.2">
      <c r="A17" s="25">
        <v>15.260000000000002</v>
      </c>
      <c r="F17" s="25" t="s">
        <v>107</v>
      </c>
      <c r="G17" s="24">
        <v>8</v>
      </c>
    </row>
    <row r="18" spans="1:7" x14ac:dyDescent="0.2">
      <c r="A18" s="25">
        <v>15.552000000000003</v>
      </c>
      <c r="F18" s="25" t="s">
        <v>104</v>
      </c>
      <c r="G18" s="24">
        <v>3</v>
      </c>
    </row>
    <row r="19" spans="1:7" x14ac:dyDescent="0.2">
      <c r="A19" s="25">
        <v>15.76</v>
      </c>
    </row>
    <row r="20" spans="1:7" x14ac:dyDescent="0.2">
      <c r="A20" s="25">
        <v>17.46</v>
      </c>
    </row>
    <row r="21" spans="1:7" x14ac:dyDescent="0.2">
      <c r="A21" s="25">
        <v>18.504000000000001</v>
      </c>
      <c r="B21" s="24">
        <v>6</v>
      </c>
    </row>
    <row r="22" spans="1:7" x14ac:dyDescent="0.2">
      <c r="A22" s="25">
        <v>19.049999999999997</v>
      </c>
      <c r="B22" s="24">
        <v>2</v>
      </c>
    </row>
    <row r="23" spans="1:7" x14ac:dyDescent="0.2">
      <c r="A23" s="25">
        <v>19.459999999999997</v>
      </c>
      <c r="B23" s="24">
        <v>2</v>
      </c>
    </row>
    <row r="24" spans="1:7" x14ac:dyDescent="0.2">
      <c r="A24" s="25">
        <v>21.8</v>
      </c>
    </row>
    <row r="25" spans="1:7" x14ac:dyDescent="0.2">
      <c r="A25" s="25">
        <v>22.368000000000002</v>
      </c>
    </row>
    <row r="26" spans="1:7" x14ac:dyDescent="0.2">
      <c r="A26" s="25">
        <v>22.72</v>
      </c>
    </row>
    <row r="27" spans="1:7" x14ac:dyDescent="0.2">
      <c r="A27" s="25">
        <v>25.824000000000002</v>
      </c>
    </row>
    <row r="28" spans="1:7" x14ac:dyDescent="0.2">
      <c r="A28" s="25">
        <v>29.472000000000001</v>
      </c>
    </row>
    <row r="29" spans="1:7" x14ac:dyDescent="0.2">
      <c r="A29" s="25">
        <v>30</v>
      </c>
    </row>
    <row r="30" spans="1:7" x14ac:dyDescent="0.2">
      <c r="A30" s="25">
        <v>32.400000000000006</v>
      </c>
    </row>
    <row r="31" spans="1:7" x14ac:dyDescent="0.2">
      <c r="A31" s="25">
        <v>38.22</v>
      </c>
    </row>
    <row r="32" spans="1:7" x14ac:dyDescent="0.2">
      <c r="A32" s="25">
        <v>45</v>
      </c>
    </row>
    <row r="33" spans="1:1" x14ac:dyDescent="0.2">
      <c r="A33" s="25">
        <v>45.98</v>
      </c>
    </row>
    <row r="34" spans="1:1" x14ac:dyDescent="0.2">
      <c r="A34" s="25">
        <v>48.480000000000004</v>
      </c>
    </row>
    <row r="35" spans="1:1" x14ac:dyDescent="0.2">
      <c r="A35" s="25">
        <v>48.86</v>
      </c>
    </row>
    <row r="36" spans="1:1" x14ac:dyDescent="0.2">
      <c r="A36" s="25">
        <v>55.5</v>
      </c>
    </row>
    <row r="37" spans="1:1" x14ac:dyDescent="0.2">
      <c r="A37" s="25">
        <v>60.339999999999996</v>
      </c>
    </row>
    <row r="38" spans="1:1" x14ac:dyDescent="0.2">
      <c r="A38" s="25">
        <v>68.809999999999988</v>
      </c>
    </row>
    <row r="39" spans="1:1" x14ac:dyDescent="0.2">
      <c r="A39" s="25">
        <v>71.371999999999986</v>
      </c>
    </row>
    <row r="40" spans="1:1" x14ac:dyDescent="0.2">
      <c r="A40" s="25">
        <v>72.784000000000006</v>
      </c>
    </row>
    <row r="41" spans="1:1" x14ac:dyDescent="0.2">
      <c r="A41" s="25">
        <v>75.179999999999993</v>
      </c>
    </row>
    <row r="42" spans="1:1" x14ac:dyDescent="0.2">
      <c r="A42" s="25">
        <v>75.88</v>
      </c>
    </row>
    <row r="43" spans="1:1" x14ac:dyDescent="0.2">
      <c r="A43" s="25">
        <v>77.88</v>
      </c>
    </row>
    <row r="44" spans="1:1" x14ac:dyDescent="0.2">
      <c r="A44" s="25">
        <v>79.760000000000005</v>
      </c>
    </row>
    <row r="45" spans="1:1" x14ac:dyDescent="0.2">
      <c r="A45" s="25">
        <v>86.304000000000002</v>
      </c>
    </row>
    <row r="46" spans="1:1" x14ac:dyDescent="0.2">
      <c r="A46" s="25">
        <v>89.99</v>
      </c>
    </row>
    <row r="47" spans="1:1" x14ac:dyDescent="0.2">
      <c r="A47" s="25">
        <v>90.570000000000007</v>
      </c>
    </row>
    <row r="48" spans="1:1" x14ac:dyDescent="0.2">
      <c r="A48" s="25">
        <v>95.616</v>
      </c>
    </row>
    <row r="49" spans="1:1" x14ac:dyDescent="0.2">
      <c r="A49" s="25">
        <v>97.04</v>
      </c>
    </row>
    <row r="50" spans="1:1" x14ac:dyDescent="0.2">
      <c r="A50" s="25">
        <v>113.328</v>
      </c>
    </row>
    <row r="51" spans="1:1" x14ac:dyDescent="0.2">
      <c r="A51" s="25">
        <v>114.9</v>
      </c>
    </row>
    <row r="52" spans="1:1" x14ac:dyDescent="0.2">
      <c r="A52" s="25">
        <v>124.20000000000002</v>
      </c>
    </row>
    <row r="53" spans="1:1" x14ac:dyDescent="0.2">
      <c r="A53" s="25">
        <v>146.72999999999999</v>
      </c>
    </row>
    <row r="54" spans="1:1" x14ac:dyDescent="0.2">
      <c r="A54" s="25">
        <v>147.16800000000001</v>
      </c>
    </row>
    <row r="55" spans="1:1" x14ac:dyDescent="0.2">
      <c r="A55" s="25">
        <v>167.96800000000002</v>
      </c>
    </row>
    <row r="56" spans="1:1" x14ac:dyDescent="0.2">
      <c r="A56" s="25">
        <v>190.92</v>
      </c>
    </row>
    <row r="57" spans="1:1" x14ac:dyDescent="0.2">
      <c r="A57" s="25">
        <v>208.56</v>
      </c>
    </row>
    <row r="58" spans="1:1" x14ac:dyDescent="0.2">
      <c r="A58" s="25">
        <v>211.96</v>
      </c>
    </row>
    <row r="59" spans="1:1" x14ac:dyDescent="0.2">
      <c r="A59" s="25">
        <v>212.05799999999999</v>
      </c>
    </row>
    <row r="60" spans="1:1" x14ac:dyDescent="0.2">
      <c r="A60" s="25">
        <v>213.11499999999998</v>
      </c>
    </row>
    <row r="61" spans="1:1" x14ac:dyDescent="0.2">
      <c r="A61" s="25">
        <v>213.48000000000002</v>
      </c>
    </row>
    <row r="62" spans="1:1" x14ac:dyDescent="0.2">
      <c r="A62" s="25">
        <v>261.95999999999998</v>
      </c>
    </row>
    <row r="63" spans="1:1" x14ac:dyDescent="0.2">
      <c r="A63" s="25">
        <v>319.41000000000003</v>
      </c>
    </row>
    <row r="64" spans="1:1" x14ac:dyDescent="0.2">
      <c r="A64" s="25">
        <v>371.16800000000001</v>
      </c>
    </row>
    <row r="65" spans="1:1" x14ac:dyDescent="0.2">
      <c r="A65" s="25">
        <v>407.97600000000006</v>
      </c>
    </row>
    <row r="66" spans="1:1" x14ac:dyDescent="0.2">
      <c r="A66" s="25">
        <v>532.39919999999995</v>
      </c>
    </row>
    <row r="67" spans="1:1" x14ac:dyDescent="0.2">
      <c r="A67" s="25">
        <v>665.88</v>
      </c>
    </row>
    <row r="68" spans="1:1" x14ac:dyDescent="0.2">
      <c r="A68" s="25">
        <v>731.93999999999994</v>
      </c>
    </row>
    <row r="69" spans="1:1" x14ac:dyDescent="0.2">
      <c r="A69" s="25">
        <v>831.93600000000015</v>
      </c>
    </row>
    <row r="70" spans="1:1" x14ac:dyDescent="0.2">
      <c r="A70" s="25">
        <v>907.15200000000004</v>
      </c>
    </row>
    <row r="71" spans="1:1" x14ac:dyDescent="0.2">
      <c r="A71" s="25">
        <v>911.42399999999998</v>
      </c>
    </row>
    <row r="72" spans="1:1" x14ac:dyDescent="0.2">
      <c r="A72" s="25">
        <v>957.57749999999999</v>
      </c>
    </row>
    <row r="73" spans="1:1" x14ac:dyDescent="0.2">
      <c r="A73" s="25">
        <v>1029.95</v>
      </c>
    </row>
    <row r="74" spans="1:1" x14ac:dyDescent="0.2">
      <c r="A74" s="25">
        <v>1044.6299999999999</v>
      </c>
    </row>
    <row r="75" spans="1:1" x14ac:dyDescent="0.2">
      <c r="A75" s="25">
        <v>1097.5440000000003</v>
      </c>
    </row>
    <row r="76" spans="1:1" x14ac:dyDescent="0.2">
      <c r="A76" s="25">
        <v>1113.0240000000001</v>
      </c>
    </row>
    <row r="77" spans="1:1" x14ac:dyDescent="0.2">
      <c r="A77" s="25">
        <v>1706.1840000000002</v>
      </c>
    </row>
    <row r="78" spans="1:1" x14ac:dyDescent="0.2">
      <c r="A78" s="25">
        <v>3083.4300000000003</v>
      </c>
    </row>
    <row r="79" spans="1:1" x14ac:dyDescent="0.2">
      <c r="A79" s="25" t="s">
        <v>391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492F-3859-0D41-87A8-339A4B4C3405}">
  <dimension ref="A1:AI78"/>
  <sheetViews>
    <sheetView tabSelected="1" topLeftCell="P1" zoomScale="62" workbookViewId="0">
      <selection activeCell="V44" sqref="V44"/>
    </sheetView>
  </sheetViews>
  <sheetFormatPr baseColWidth="10" defaultRowHeight="15" x14ac:dyDescent="0.2"/>
  <cols>
    <col min="1" max="8" width="14.83203125" bestFit="1" customWidth="1"/>
    <col min="9" max="10" width="10" bestFit="1" customWidth="1"/>
    <col min="11" max="11" width="10.6640625" bestFit="1" customWidth="1"/>
    <col min="12" max="12" width="6.83203125" bestFit="1" customWidth="1"/>
    <col min="13" max="13" width="15.33203125" bestFit="1" customWidth="1"/>
    <col min="14" max="15" width="12.1640625" bestFit="1" customWidth="1"/>
    <col min="16" max="16" width="75.83203125" bestFit="1" customWidth="1"/>
    <col min="17" max="17" width="9.1640625" bestFit="1" customWidth="1"/>
    <col min="18" max="18" width="8.33203125" bestFit="1" customWidth="1"/>
    <col min="19" max="19" width="10.6640625" bestFit="1" customWidth="1"/>
    <col min="20" max="20" width="15.6640625" bestFit="1" customWidth="1"/>
    <col min="21" max="21" width="8.83203125" bestFit="1" customWidth="1"/>
    <col min="22" max="22" width="15.6640625" bestFit="1" customWidth="1"/>
    <col min="23" max="23" width="20.5" customWidth="1"/>
    <col min="24" max="25" width="8.83203125" bestFit="1" customWidth="1"/>
    <col min="26" max="26" width="9.1640625" bestFit="1" customWidth="1"/>
    <col min="27" max="34" width="8.83203125" bestFit="1" customWidth="1"/>
    <col min="35" max="35" width="11.1640625" bestFit="1" customWidth="1"/>
    <col min="36" max="67" width="18.33203125" bestFit="1" customWidth="1"/>
    <col min="68" max="68" width="22.6640625" bestFit="1" customWidth="1"/>
    <col min="69" max="69" width="14.6640625" bestFit="1" customWidth="1"/>
    <col min="70" max="70" width="22.6640625" bestFit="1" customWidth="1"/>
  </cols>
  <sheetData>
    <row r="1" spans="1:23" ht="21" x14ac:dyDescent="0.25">
      <c r="A1" s="26" t="s">
        <v>390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2"/>
    </row>
    <row r="2" spans="1:23" ht="16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3" ht="16" x14ac:dyDescent="0.2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  <c r="G3" s="20" t="s">
        <v>57</v>
      </c>
      <c r="H3" s="20" t="s">
        <v>58</v>
      </c>
      <c r="I3" s="20" t="s">
        <v>59</v>
      </c>
      <c r="J3" s="20" t="s">
        <v>60</v>
      </c>
      <c r="K3" s="20" t="s">
        <v>61</v>
      </c>
      <c r="L3" s="20" t="s">
        <v>62</v>
      </c>
      <c r="M3" s="20" t="s">
        <v>63</v>
      </c>
      <c r="N3" s="20" t="s">
        <v>64</v>
      </c>
      <c r="O3" s="20" t="s">
        <v>65</v>
      </c>
      <c r="P3" s="20" t="s">
        <v>66</v>
      </c>
      <c r="Q3" s="20" t="s">
        <v>67</v>
      </c>
      <c r="R3" s="20" t="s">
        <v>68</v>
      </c>
      <c r="S3" s="20" t="s">
        <v>69</v>
      </c>
      <c r="T3" s="20" t="s">
        <v>56</v>
      </c>
      <c r="V3" s="23" t="s">
        <v>406</v>
      </c>
      <c r="W3" s="23"/>
    </row>
    <row r="4" spans="1:23" x14ac:dyDescent="0.2">
      <c r="A4" s="17">
        <v>1</v>
      </c>
      <c r="B4" s="17" t="s">
        <v>70</v>
      </c>
      <c r="C4" s="18">
        <v>41587</v>
      </c>
      <c r="D4" s="18">
        <v>41590</v>
      </c>
      <c r="E4" s="17" t="s">
        <v>71</v>
      </c>
      <c r="F4" s="17" t="s">
        <v>72</v>
      </c>
      <c r="G4" s="17" t="s">
        <v>74</v>
      </c>
      <c r="H4" s="17" t="s">
        <v>75</v>
      </c>
      <c r="I4" s="17" t="s">
        <v>76</v>
      </c>
      <c r="J4" s="17" t="s">
        <v>77</v>
      </c>
      <c r="K4" s="17">
        <v>42420</v>
      </c>
      <c r="L4" s="17" t="s">
        <v>78</v>
      </c>
      <c r="M4" s="17" t="s">
        <v>79</v>
      </c>
      <c r="N4" s="17" t="s">
        <v>80</v>
      </c>
      <c r="O4" s="17" t="s">
        <v>81</v>
      </c>
      <c r="P4" s="17" t="s">
        <v>82</v>
      </c>
      <c r="Q4" s="17">
        <v>261.95999999999998</v>
      </c>
      <c r="R4" s="17">
        <v>2</v>
      </c>
      <c r="S4" s="17">
        <v>41.913600000000002</v>
      </c>
      <c r="T4" s="17" t="s">
        <v>73</v>
      </c>
      <c r="V4" s="7"/>
      <c r="W4" s="7"/>
    </row>
    <row r="5" spans="1:23" x14ac:dyDescent="0.2">
      <c r="A5" s="17">
        <v>2</v>
      </c>
      <c r="B5" s="17" t="s">
        <v>70</v>
      </c>
      <c r="C5" s="18">
        <v>41587</v>
      </c>
      <c r="D5" s="18">
        <v>41590</v>
      </c>
      <c r="E5" s="17" t="s">
        <v>71</v>
      </c>
      <c r="F5" s="17" t="s">
        <v>72</v>
      </c>
      <c r="G5" s="17" t="s">
        <v>74</v>
      </c>
      <c r="H5" s="17" t="s">
        <v>75</v>
      </c>
      <c r="I5" s="17" t="s">
        <v>76</v>
      </c>
      <c r="J5" s="17" t="s">
        <v>77</v>
      </c>
      <c r="K5" s="17">
        <v>42420</v>
      </c>
      <c r="L5" s="17" t="s">
        <v>78</v>
      </c>
      <c r="M5" s="17" t="s">
        <v>83</v>
      </c>
      <c r="N5" s="17" t="s">
        <v>80</v>
      </c>
      <c r="O5" s="17" t="s">
        <v>84</v>
      </c>
      <c r="P5" s="17" t="s">
        <v>85</v>
      </c>
      <c r="Q5" s="17">
        <v>731.93999999999994</v>
      </c>
      <c r="R5" s="17">
        <v>3</v>
      </c>
      <c r="S5" s="17">
        <v>219.58199999999997</v>
      </c>
      <c r="T5" s="17" t="s">
        <v>73</v>
      </c>
      <c r="V5" s="7" t="s">
        <v>7</v>
      </c>
      <c r="W5" s="7">
        <v>-5.1269120000000026</v>
      </c>
    </row>
    <row r="6" spans="1:23" x14ac:dyDescent="0.2">
      <c r="A6" s="17">
        <v>3</v>
      </c>
      <c r="B6" s="17" t="s">
        <v>86</v>
      </c>
      <c r="C6" s="18">
        <v>41438</v>
      </c>
      <c r="D6" s="18">
        <v>41442</v>
      </c>
      <c r="E6" s="17" t="s">
        <v>71</v>
      </c>
      <c r="F6" s="17" t="s">
        <v>87</v>
      </c>
      <c r="G6" s="17" t="s">
        <v>89</v>
      </c>
      <c r="H6" s="17" t="s">
        <v>75</v>
      </c>
      <c r="I6" s="17" t="s">
        <v>90</v>
      </c>
      <c r="J6" s="17" t="s">
        <v>91</v>
      </c>
      <c r="K6" s="17">
        <v>90036</v>
      </c>
      <c r="L6" s="17" t="s">
        <v>92</v>
      </c>
      <c r="M6" s="17" t="s">
        <v>93</v>
      </c>
      <c r="N6" s="17" t="s">
        <v>94</v>
      </c>
      <c r="O6" s="17" t="s">
        <v>95</v>
      </c>
      <c r="P6" s="17" t="s">
        <v>96</v>
      </c>
      <c r="Q6" s="17">
        <v>14.62</v>
      </c>
      <c r="R6" s="17">
        <v>2</v>
      </c>
      <c r="S6" s="17">
        <v>6.8713999999999995</v>
      </c>
      <c r="T6" s="17" t="s">
        <v>88</v>
      </c>
      <c r="V6" s="7" t="s">
        <v>392</v>
      </c>
      <c r="W6" s="7">
        <v>24.220330076167951</v>
      </c>
    </row>
    <row r="7" spans="1:23" x14ac:dyDescent="0.2">
      <c r="A7" s="17">
        <v>4</v>
      </c>
      <c r="B7" s="17" t="s">
        <v>97</v>
      </c>
      <c r="C7" s="18">
        <v>41193</v>
      </c>
      <c r="D7" s="18">
        <v>41200</v>
      </c>
      <c r="E7" s="17" t="s">
        <v>98</v>
      </c>
      <c r="F7" s="17" t="s">
        <v>99</v>
      </c>
      <c r="G7" s="17" t="s">
        <v>74</v>
      </c>
      <c r="H7" s="17" t="s">
        <v>75</v>
      </c>
      <c r="I7" s="17" t="s">
        <v>101</v>
      </c>
      <c r="J7" s="17" t="s">
        <v>102</v>
      </c>
      <c r="K7" s="17">
        <v>33311</v>
      </c>
      <c r="L7" s="17" t="s">
        <v>78</v>
      </c>
      <c r="M7" s="17" t="s">
        <v>103</v>
      </c>
      <c r="N7" s="17" t="s">
        <v>80</v>
      </c>
      <c r="O7" s="17" t="s">
        <v>104</v>
      </c>
      <c r="P7" s="17" t="s">
        <v>105</v>
      </c>
      <c r="Q7" s="17">
        <v>957.57749999999999</v>
      </c>
      <c r="R7" s="17">
        <v>5</v>
      </c>
      <c r="S7" s="17">
        <v>-383.03100000000006</v>
      </c>
      <c r="T7" s="17" t="s">
        <v>100</v>
      </c>
      <c r="V7" s="7" t="s">
        <v>393</v>
      </c>
      <c r="W7" s="7">
        <v>8.4783999999999935</v>
      </c>
    </row>
    <row r="8" spans="1:23" x14ac:dyDescent="0.2">
      <c r="A8" s="17">
        <v>5</v>
      </c>
      <c r="B8" s="17" t="s">
        <v>97</v>
      </c>
      <c r="C8" s="18">
        <v>41193</v>
      </c>
      <c r="D8" s="18">
        <v>41200</v>
      </c>
      <c r="E8" s="17" t="s">
        <v>98</v>
      </c>
      <c r="F8" s="17" t="s">
        <v>99</v>
      </c>
      <c r="G8" s="17" t="s">
        <v>74</v>
      </c>
      <c r="H8" s="17" t="s">
        <v>75</v>
      </c>
      <c r="I8" s="17" t="s">
        <v>101</v>
      </c>
      <c r="J8" s="17" t="s">
        <v>102</v>
      </c>
      <c r="K8" s="17">
        <v>33311</v>
      </c>
      <c r="L8" s="17" t="s">
        <v>78</v>
      </c>
      <c r="M8" s="17" t="s">
        <v>106</v>
      </c>
      <c r="N8" s="17" t="s">
        <v>94</v>
      </c>
      <c r="O8" s="17" t="s">
        <v>107</v>
      </c>
      <c r="P8" s="17" t="s">
        <v>108</v>
      </c>
      <c r="Q8" s="17">
        <v>22.368000000000002</v>
      </c>
      <c r="R8" s="17">
        <v>2</v>
      </c>
      <c r="S8" s="17">
        <v>2.5163999999999991</v>
      </c>
      <c r="T8" s="17" t="s">
        <v>100</v>
      </c>
      <c r="V8" s="7" t="s">
        <v>394</v>
      </c>
      <c r="W8" s="7" t="e">
        <v>#N/A</v>
      </c>
    </row>
    <row r="9" spans="1:23" x14ac:dyDescent="0.2">
      <c r="A9" s="17">
        <v>6</v>
      </c>
      <c r="B9" s="17" t="s">
        <v>109</v>
      </c>
      <c r="C9" s="18">
        <v>40703</v>
      </c>
      <c r="D9" s="18">
        <v>40708</v>
      </c>
      <c r="E9" s="17" t="s">
        <v>98</v>
      </c>
      <c r="F9" s="17" t="s">
        <v>110</v>
      </c>
      <c r="G9" s="17" t="s">
        <v>74</v>
      </c>
      <c r="H9" s="17" t="s">
        <v>75</v>
      </c>
      <c r="I9" s="17" t="s">
        <v>90</v>
      </c>
      <c r="J9" s="17" t="s">
        <v>91</v>
      </c>
      <c r="K9" s="17">
        <v>90032</v>
      </c>
      <c r="L9" s="17" t="s">
        <v>92</v>
      </c>
      <c r="M9" s="17" t="s">
        <v>112</v>
      </c>
      <c r="N9" s="17" t="s">
        <v>80</v>
      </c>
      <c r="O9" s="17" t="s">
        <v>113</v>
      </c>
      <c r="P9" s="17" t="s">
        <v>114</v>
      </c>
      <c r="Q9" s="17">
        <v>48.86</v>
      </c>
      <c r="R9" s="17">
        <v>7</v>
      </c>
      <c r="S9" s="17">
        <v>14.169399999999996</v>
      </c>
      <c r="T9" s="17" t="s">
        <v>111</v>
      </c>
      <c r="V9" s="7" t="s">
        <v>395</v>
      </c>
      <c r="W9" s="7">
        <v>209.75421134005737</v>
      </c>
    </row>
    <row r="10" spans="1:23" x14ac:dyDescent="0.2">
      <c r="A10" s="17">
        <v>7</v>
      </c>
      <c r="B10" s="17" t="s">
        <v>109</v>
      </c>
      <c r="C10" s="18">
        <v>40703</v>
      </c>
      <c r="D10" s="18">
        <v>40708</v>
      </c>
      <c r="E10" s="17" t="s">
        <v>98</v>
      </c>
      <c r="F10" s="17" t="s">
        <v>110</v>
      </c>
      <c r="G10" s="17" t="s">
        <v>74</v>
      </c>
      <c r="H10" s="17" t="s">
        <v>75</v>
      </c>
      <c r="I10" s="17" t="s">
        <v>90</v>
      </c>
      <c r="J10" s="17" t="s">
        <v>91</v>
      </c>
      <c r="K10" s="17">
        <v>90032</v>
      </c>
      <c r="L10" s="17" t="s">
        <v>92</v>
      </c>
      <c r="M10" s="17" t="s">
        <v>115</v>
      </c>
      <c r="N10" s="17" t="s">
        <v>94</v>
      </c>
      <c r="O10" s="17" t="s">
        <v>116</v>
      </c>
      <c r="P10" s="17" t="s">
        <v>117</v>
      </c>
      <c r="Q10" s="17">
        <v>7.28</v>
      </c>
      <c r="R10" s="17">
        <v>4</v>
      </c>
      <c r="S10" s="17">
        <v>1.9656000000000002</v>
      </c>
      <c r="T10" s="17" t="s">
        <v>111</v>
      </c>
      <c r="V10" s="7" t="s">
        <v>396</v>
      </c>
      <c r="W10" s="7">
        <v>43996.829174889455</v>
      </c>
    </row>
    <row r="11" spans="1:23" x14ac:dyDescent="0.2">
      <c r="A11" s="17">
        <v>8</v>
      </c>
      <c r="B11" s="17" t="s">
        <v>109</v>
      </c>
      <c r="C11" s="18">
        <v>40703</v>
      </c>
      <c r="D11" s="18">
        <v>40708</v>
      </c>
      <c r="E11" s="17" t="s">
        <v>98</v>
      </c>
      <c r="F11" s="17" t="s">
        <v>110</v>
      </c>
      <c r="G11" s="17" t="s">
        <v>74</v>
      </c>
      <c r="H11" s="17" t="s">
        <v>75</v>
      </c>
      <c r="I11" s="17" t="s">
        <v>90</v>
      </c>
      <c r="J11" s="17" t="s">
        <v>91</v>
      </c>
      <c r="K11" s="17">
        <v>90032</v>
      </c>
      <c r="L11" s="17" t="s">
        <v>92</v>
      </c>
      <c r="M11" s="17" t="s">
        <v>118</v>
      </c>
      <c r="N11" s="17" t="s">
        <v>119</v>
      </c>
      <c r="O11" s="17" t="s">
        <v>120</v>
      </c>
      <c r="P11" s="17" t="s">
        <v>121</v>
      </c>
      <c r="Q11" s="17">
        <v>907.15200000000004</v>
      </c>
      <c r="R11" s="17">
        <v>6</v>
      </c>
      <c r="S11" s="17">
        <v>90.715200000000038</v>
      </c>
      <c r="T11" s="17" t="s">
        <v>111</v>
      </c>
      <c r="V11" s="7" t="s">
        <v>397</v>
      </c>
      <c r="W11" s="7">
        <v>54.631732577774265</v>
      </c>
    </row>
    <row r="12" spans="1:23" x14ac:dyDescent="0.2">
      <c r="A12" s="17">
        <v>9</v>
      </c>
      <c r="B12" s="17" t="s">
        <v>109</v>
      </c>
      <c r="C12" s="18">
        <v>40703</v>
      </c>
      <c r="D12" s="18">
        <v>40708</v>
      </c>
      <c r="E12" s="17" t="s">
        <v>98</v>
      </c>
      <c r="F12" s="17" t="s">
        <v>110</v>
      </c>
      <c r="G12" s="17" t="s">
        <v>74</v>
      </c>
      <c r="H12" s="17" t="s">
        <v>75</v>
      </c>
      <c r="I12" s="17" t="s">
        <v>90</v>
      </c>
      <c r="J12" s="17" t="s">
        <v>91</v>
      </c>
      <c r="K12" s="17">
        <v>90032</v>
      </c>
      <c r="L12" s="17" t="s">
        <v>92</v>
      </c>
      <c r="M12" s="17" t="s">
        <v>122</v>
      </c>
      <c r="N12" s="17" t="s">
        <v>94</v>
      </c>
      <c r="O12" s="17" t="s">
        <v>123</v>
      </c>
      <c r="P12" s="17" t="s">
        <v>124</v>
      </c>
      <c r="Q12" s="17">
        <v>18.504000000000001</v>
      </c>
      <c r="R12" s="17">
        <v>3</v>
      </c>
      <c r="S12" s="17">
        <v>5.7824999999999998</v>
      </c>
      <c r="T12" s="17" t="s">
        <v>111</v>
      </c>
      <c r="V12" s="7" t="s">
        <v>398</v>
      </c>
      <c r="W12" s="7">
        <v>-6.8746209281768378</v>
      </c>
    </row>
    <row r="13" spans="1:23" x14ac:dyDescent="0.2">
      <c r="A13" s="17">
        <v>10</v>
      </c>
      <c r="B13" s="17" t="s">
        <v>109</v>
      </c>
      <c r="C13" s="18">
        <v>40703</v>
      </c>
      <c r="D13" s="18">
        <v>40708</v>
      </c>
      <c r="E13" s="17" t="s">
        <v>98</v>
      </c>
      <c r="F13" s="17" t="s">
        <v>110</v>
      </c>
      <c r="G13" s="17" t="s">
        <v>74</v>
      </c>
      <c r="H13" s="17" t="s">
        <v>75</v>
      </c>
      <c r="I13" s="17" t="s">
        <v>90</v>
      </c>
      <c r="J13" s="17" t="s">
        <v>91</v>
      </c>
      <c r="K13" s="17">
        <v>90032</v>
      </c>
      <c r="L13" s="17" t="s">
        <v>92</v>
      </c>
      <c r="M13" s="17" t="s">
        <v>125</v>
      </c>
      <c r="N13" s="17" t="s">
        <v>94</v>
      </c>
      <c r="O13" s="17" t="s">
        <v>126</v>
      </c>
      <c r="P13" s="17" t="s">
        <v>127</v>
      </c>
      <c r="Q13" s="17">
        <v>114.9</v>
      </c>
      <c r="R13" s="17">
        <v>5</v>
      </c>
      <c r="S13" s="17">
        <v>34.469999999999992</v>
      </c>
      <c r="T13" s="17" t="s">
        <v>111</v>
      </c>
      <c r="V13" s="7" t="s">
        <v>399</v>
      </c>
      <c r="W13" s="7">
        <v>1963.7377000000001</v>
      </c>
    </row>
    <row r="14" spans="1:23" x14ac:dyDescent="0.2">
      <c r="A14" s="17">
        <v>11</v>
      </c>
      <c r="B14" s="17" t="s">
        <v>109</v>
      </c>
      <c r="C14" s="18">
        <v>40703</v>
      </c>
      <c r="D14" s="18">
        <v>40708</v>
      </c>
      <c r="E14" s="17" t="s">
        <v>98</v>
      </c>
      <c r="F14" s="17" t="s">
        <v>110</v>
      </c>
      <c r="G14" s="17" t="s">
        <v>74</v>
      </c>
      <c r="H14" s="17" t="s">
        <v>75</v>
      </c>
      <c r="I14" s="17" t="s">
        <v>90</v>
      </c>
      <c r="J14" s="17" t="s">
        <v>91</v>
      </c>
      <c r="K14" s="17">
        <v>90032</v>
      </c>
      <c r="L14" s="17" t="s">
        <v>92</v>
      </c>
      <c r="M14" s="17" t="s">
        <v>128</v>
      </c>
      <c r="N14" s="17" t="s">
        <v>80</v>
      </c>
      <c r="O14" s="17" t="s">
        <v>104</v>
      </c>
      <c r="P14" s="17" t="s">
        <v>129</v>
      </c>
      <c r="Q14" s="17">
        <v>1706.1840000000002</v>
      </c>
      <c r="R14" s="17">
        <v>9</v>
      </c>
      <c r="S14" s="17">
        <v>85.309199999999805</v>
      </c>
      <c r="T14" s="17" t="s">
        <v>111</v>
      </c>
      <c r="V14" s="7" t="s">
        <v>400</v>
      </c>
      <c r="W14" s="7">
        <v>-1665.0522000000001</v>
      </c>
    </row>
    <row r="15" spans="1:23" x14ac:dyDescent="0.2">
      <c r="A15" s="17">
        <v>12</v>
      </c>
      <c r="B15" s="17" t="s">
        <v>109</v>
      </c>
      <c r="C15" s="18">
        <v>40703</v>
      </c>
      <c r="D15" s="18">
        <v>40708</v>
      </c>
      <c r="E15" s="17" t="s">
        <v>98</v>
      </c>
      <c r="F15" s="17" t="s">
        <v>110</v>
      </c>
      <c r="G15" s="17" t="s">
        <v>74</v>
      </c>
      <c r="H15" s="17" t="s">
        <v>75</v>
      </c>
      <c r="I15" s="17" t="s">
        <v>90</v>
      </c>
      <c r="J15" s="17" t="s">
        <v>91</v>
      </c>
      <c r="K15" s="17">
        <v>90032</v>
      </c>
      <c r="L15" s="17" t="s">
        <v>92</v>
      </c>
      <c r="M15" s="17" t="s">
        <v>130</v>
      </c>
      <c r="N15" s="17" t="s">
        <v>119</v>
      </c>
      <c r="O15" s="17" t="s">
        <v>120</v>
      </c>
      <c r="P15" s="17" t="s">
        <v>131</v>
      </c>
      <c r="Q15" s="17">
        <v>911.42399999999998</v>
      </c>
      <c r="R15" s="17">
        <v>4</v>
      </c>
      <c r="S15" s="17">
        <v>68.356800000000021</v>
      </c>
      <c r="T15" s="17" t="s">
        <v>111</v>
      </c>
      <c r="V15" s="7" t="s">
        <v>401</v>
      </c>
      <c r="W15" s="7">
        <v>298.68549999999999</v>
      </c>
    </row>
    <row r="16" spans="1:23" x14ac:dyDescent="0.2">
      <c r="A16" s="17">
        <v>13</v>
      </c>
      <c r="B16" s="17" t="s">
        <v>132</v>
      </c>
      <c r="C16" s="18">
        <v>41745</v>
      </c>
      <c r="D16" s="18">
        <v>41750</v>
      </c>
      <c r="E16" s="17" t="s">
        <v>98</v>
      </c>
      <c r="F16" s="17" t="s">
        <v>133</v>
      </c>
      <c r="G16" s="17" t="s">
        <v>74</v>
      </c>
      <c r="H16" s="17" t="s">
        <v>75</v>
      </c>
      <c r="I16" s="17" t="s">
        <v>135</v>
      </c>
      <c r="J16" s="17" t="s">
        <v>136</v>
      </c>
      <c r="K16" s="17">
        <v>28027</v>
      </c>
      <c r="L16" s="17" t="s">
        <v>78</v>
      </c>
      <c r="M16" s="17" t="s">
        <v>137</v>
      </c>
      <c r="N16" s="17" t="s">
        <v>94</v>
      </c>
      <c r="O16" s="17" t="s">
        <v>138</v>
      </c>
      <c r="P16" s="17" t="s">
        <v>139</v>
      </c>
      <c r="Q16" s="17">
        <v>15.552000000000003</v>
      </c>
      <c r="R16" s="17">
        <v>3</v>
      </c>
      <c r="S16" s="17">
        <v>5.4432</v>
      </c>
      <c r="T16" s="17" t="s">
        <v>134</v>
      </c>
      <c r="V16" s="7" t="s">
        <v>402</v>
      </c>
      <c r="W16" s="7">
        <v>-384.51840000000021</v>
      </c>
    </row>
    <row r="17" spans="1:35" x14ac:dyDescent="0.2">
      <c r="A17" s="17">
        <v>14</v>
      </c>
      <c r="B17" s="17" t="s">
        <v>140</v>
      </c>
      <c r="C17" s="18">
        <v>41614</v>
      </c>
      <c r="D17" s="18">
        <v>41619</v>
      </c>
      <c r="E17" s="17" t="s">
        <v>98</v>
      </c>
      <c r="F17" s="17" t="s">
        <v>141</v>
      </c>
      <c r="G17" s="17" t="s">
        <v>74</v>
      </c>
      <c r="H17" s="17" t="s">
        <v>75</v>
      </c>
      <c r="I17" s="17" t="s">
        <v>143</v>
      </c>
      <c r="J17" s="17" t="s">
        <v>144</v>
      </c>
      <c r="K17" s="17">
        <v>98103</v>
      </c>
      <c r="L17" s="17" t="s">
        <v>92</v>
      </c>
      <c r="M17" s="17" t="s">
        <v>145</v>
      </c>
      <c r="N17" s="17" t="s">
        <v>94</v>
      </c>
      <c r="O17" s="17" t="s">
        <v>123</v>
      </c>
      <c r="P17" s="17" t="s">
        <v>146</v>
      </c>
      <c r="Q17" s="17">
        <v>407.97600000000006</v>
      </c>
      <c r="R17" s="17">
        <v>3</v>
      </c>
      <c r="S17" s="17">
        <v>132.59219999999993</v>
      </c>
      <c r="T17" s="17" t="s">
        <v>142</v>
      </c>
      <c r="V17" s="7" t="s">
        <v>403</v>
      </c>
      <c r="W17" s="7">
        <v>75</v>
      </c>
    </row>
    <row r="18" spans="1:35" x14ac:dyDescent="0.2">
      <c r="A18" s="17">
        <v>15</v>
      </c>
      <c r="B18" s="17" t="s">
        <v>147</v>
      </c>
      <c r="C18" s="18">
        <v>41235</v>
      </c>
      <c r="D18" s="18">
        <v>41239</v>
      </c>
      <c r="E18" s="17" t="s">
        <v>98</v>
      </c>
      <c r="F18" s="17" t="s">
        <v>148</v>
      </c>
      <c r="G18" s="17" t="s">
        <v>150</v>
      </c>
      <c r="H18" s="17" t="s">
        <v>75</v>
      </c>
      <c r="I18" s="17" t="s">
        <v>151</v>
      </c>
      <c r="J18" s="17" t="s">
        <v>152</v>
      </c>
      <c r="K18" s="17">
        <v>76106</v>
      </c>
      <c r="L18" s="17" t="s">
        <v>153</v>
      </c>
      <c r="M18" s="17" t="s">
        <v>154</v>
      </c>
      <c r="N18" s="17" t="s">
        <v>94</v>
      </c>
      <c r="O18" s="17" t="s">
        <v>126</v>
      </c>
      <c r="P18" s="17" t="s">
        <v>155</v>
      </c>
      <c r="Q18" s="17">
        <v>68.809999999999988</v>
      </c>
      <c r="R18" s="17">
        <v>5</v>
      </c>
      <c r="S18" s="17">
        <v>-123.858</v>
      </c>
      <c r="T18" s="17" t="s">
        <v>149</v>
      </c>
      <c r="V18" s="7" t="s">
        <v>404</v>
      </c>
      <c r="W18" s="7">
        <v>298.68549999999999</v>
      </c>
    </row>
    <row r="19" spans="1:35" ht="16" thickBot="1" x14ac:dyDescent="0.25">
      <c r="A19" s="17">
        <v>16</v>
      </c>
      <c r="B19" s="17" t="s">
        <v>147</v>
      </c>
      <c r="C19" s="18">
        <v>41235</v>
      </c>
      <c r="D19" s="18">
        <v>41239</v>
      </c>
      <c r="E19" s="17" t="s">
        <v>98</v>
      </c>
      <c r="F19" s="17" t="s">
        <v>148</v>
      </c>
      <c r="G19" s="17" t="s">
        <v>150</v>
      </c>
      <c r="H19" s="17" t="s">
        <v>75</v>
      </c>
      <c r="I19" s="17" t="s">
        <v>151</v>
      </c>
      <c r="J19" s="17" t="s">
        <v>152</v>
      </c>
      <c r="K19" s="17">
        <v>76106</v>
      </c>
      <c r="L19" s="17" t="s">
        <v>153</v>
      </c>
      <c r="M19" s="17" t="s">
        <v>156</v>
      </c>
      <c r="N19" s="17" t="s">
        <v>94</v>
      </c>
      <c r="O19" s="17" t="s">
        <v>123</v>
      </c>
      <c r="P19" s="17" t="s">
        <v>157</v>
      </c>
      <c r="Q19" s="17">
        <v>2.5439999999999996</v>
      </c>
      <c r="R19" s="17">
        <v>3</v>
      </c>
      <c r="S19" s="17">
        <v>-3.8160000000000016</v>
      </c>
      <c r="T19" s="17" t="s">
        <v>149</v>
      </c>
      <c r="V19" s="8" t="s">
        <v>405</v>
      </c>
      <c r="W19" s="8">
        <v>-1665.0522000000001</v>
      </c>
    </row>
    <row r="20" spans="1:35" x14ac:dyDescent="0.2">
      <c r="A20" s="17">
        <v>17</v>
      </c>
      <c r="B20" s="17" t="s">
        <v>158</v>
      </c>
      <c r="C20" s="18">
        <v>40858</v>
      </c>
      <c r="D20" s="18">
        <v>40865</v>
      </c>
      <c r="E20" s="17" t="s">
        <v>98</v>
      </c>
      <c r="F20" s="17" t="s">
        <v>159</v>
      </c>
      <c r="G20" s="17" t="s">
        <v>74</v>
      </c>
      <c r="H20" s="17" t="s">
        <v>75</v>
      </c>
      <c r="I20" s="17" t="s">
        <v>161</v>
      </c>
      <c r="J20" s="17" t="s">
        <v>162</v>
      </c>
      <c r="K20" s="17">
        <v>53711</v>
      </c>
      <c r="L20" s="17" t="s">
        <v>153</v>
      </c>
      <c r="M20" s="17" t="s">
        <v>163</v>
      </c>
      <c r="N20" s="17" t="s">
        <v>94</v>
      </c>
      <c r="O20" s="17" t="s">
        <v>107</v>
      </c>
      <c r="P20" s="17" t="s">
        <v>164</v>
      </c>
      <c r="Q20" s="17">
        <v>665.88</v>
      </c>
      <c r="R20" s="17">
        <v>6</v>
      </c>
      <c r="S20" s="17">
        <v>13.317599999999999</v>
      </c>
      <c r="T20" s="17" t="s">
        <v>160</v>
      </c>
    </row>
    <row r="21" spans="1:35" x14ac:dyDescent="0.2">
      <c r="A21" s="17">
        <v>18</v>
      </c>
      <c r="B21" s="17" t="s">
        <v>165</v>
      </c>
      <c r="C21" s="18">
        <v>40676</v>
      </c>
      <c r="D21" s="18">
        <v>40678</v>
      </c>
      <c r="E21" s="17" t="s">
        <v>71</v>
      </c>
      <c r="F21" s="17" t="s">
        <v>166</v>
      </c>
      <c r="G21" s="17" t="s">
        <v>74</v>
      </c>
      <c r="H21" s="17" t="s">
        <v>75</v>
      </c>
      <c r="I21" s="17" t="s">
        <v>168</v>
      </c>
      <c r="J21" s="17" t="s">
        <v>169</v>
      </c>
      <c r="K21" s="17">
        <v>84084</v>
      </c>
      <c r="L21" s="17" t="s">
        <v>92</v>
      </c>
      <c r="M21" s="17" t="s">
        <v>170</v>
      </c>
      <c r="N21" s="17" t="s">
        <v>94</v>
      </c>
      <c r="O21" s="17" t="s">
        <v>107</v>
      </c>
      <c r="P21" s="17" t="s">
        <v>171</v>
      </c>
      <c r="Q21" s="17">
        <v>55.5</v>
      </c>
      <c r="R21" s="17">
        <v>2</v>
      </c>
      <c r="S21" s="17">
        <v>9.9899999999999949</v>
      </c>
      <c r="T21" s="17" t="s">
        <v>167</v>
      </c>
      <c r="V21" t="s">
        <v>407</v>
      </c>
    </row>
    <row r="22" spans="1:35" x14ac:dyDescent="0.2">
      <c r="A22" s="17">
        <v>19</v>
      </c>
      <c r="B22" s="17" t="s">
        <v>172</v>
      </c>
      <c r="C22" s="18">
        <v>40782</v>
      </c>
      <c r="D22" s="18">
        <v>40787</v>
      </c>
      <c r="E22" s="17" t="s">
        <v>71</v>
      </c>
      <c r="F22" s="17" t="s">
        <v>173</v>
      </c>
      <c r="G22" s="17" t="s">
        <v>74</v>
      </c>
      <c r="H22" s="17" t="s">
        <v>75</v>
      </c>
      <c r="I22" s="17" t="s">
        <v>175</v>
      </c>
      <c r="J22" s="17" t="s">
        <v>91</v>
      </c>
      <c r="K22" s="17">
        <v>94109</v>
      </c>
      <c r="L22" s="17" t="s">
        <v>92</v>
      </c>
      <c r="M22" s="17" t="s">
        <v>176</v>
      </c>
      <c r="N22" s="17" t="s">
        <v>94</v>
      </c>
      <c r="O22" s="17" t="s">
        <v>116</v>
      </c>
      <c r="P22" s="17" t="s">
        <v>177</v>
      </c>
      <c r="Q22" s="17">
        <v>8.56</v>
      </c>
      <c r="R22" s="17">
        <v>2</v>
      </c>
      <c r="S22" s="17">
        <v>2.4823999999999993</v>
      </c>
      <c r="T22" s="17" t="s">
        <v>174</v>
      </c>
      <c r="V22" t="s">
        <v>408</v>
      </c>
    </row>
    <row r="23" spans="1:35" x14ac:dyDescent="0.2">
      <c r="A23" s="17">
        <v>20</v>
      </c>
      <c r="B23" s="17" t="s">
        <v>172</v>
      </c>
      <c r="C23" s="18">
        <v>40782</v>
      </c>
      <c r="D23" s="18">
        <v>40787</v>
      </c>
      <c r="E23" s="17" t="s">
        <v>71</v>
      </c>
      <c r="F23" s="17" t="s">
        <v>173</v>
      </c>
      <c r="G23" s="17" t="s">
        <v>74</v>
      </c>
      <c r="H23" s="17" t="s">
        <v>75</v>
      </c>
      <c r="I23" s="17" t="s">
        <v>175</v>
      </c>
      <c r="J23" s="17" t="s">
        <v>91</v>
      </c>
      <c r="K23" s="17">
        <v>94109</v>
      </c>
      <c r="L23" s="17" t="s">
        <v>92</v>
      </c>
      <c r="M23" s="17" t="s">
        <v>178</v>
      </c>
      <c r="N23" s="17" t="s">
        <v>119</v>
      </c>
      <c r="O23" s="17" t="s">
        <v>120</v>
      </c>
      <c r="P23" s="17" t="s">
        <v>179</v>
      </c>
      <c r="Q23" s="17">
        <v>213.48000000000002</v>
      </c>
      <c r="R23" s="17">
        <v>3</v>
      </c>
      <c r="S23" s="17">
        <v>16.010999999999981</v>
      </c>
      <c r="T23" s="17" t="s">
        <v>174</v>
      </c>
      <c r="V23" t="s">
        <v>409</v>
      </c>
    </row>
    <row r="24" spans="1:35" x14ac:dyDescent="0.2">
      <c r="A24" s="17">
        <v>21</v>
      </c>
      <c r="B24" s="17" t="s">
        <v>172</v>
      </c>
      <c r="C24" s="18">
        <v>40782</v>
      </c>
      <c r="D24" s="18">
        <v>40787</v>
      </c>
      <c r="E24" s="17" t="s">
        <v>71</v>
      </c>
      <c r="F24" s="17" t="s">
        <v>173</v>
      </c>
      <c r="G24" s="17" t="s">
        <v>74</v>
      </c>
      <c r="H24" s="17" t="s">
        <v>75</v>
      </c>
      <c r="I24" s="17" t="s">
        <v>175</v>
      </c>
      <c r="J24" s="17" t="s">
        <v>91</v>
      </c>
      <c r="K24" s="17">
        <v>94109</v>
      </c>
      <c r="L24" s="17" t="s">
        <v>92</v>
      </c>
      <c r="M24" s="17" t="s">
        <v>180</v>
      </c>
      <c r="N24" s="17" t="s">
        <v>94</v>
      </c>
      <c r="O24" s="17" t="s">
        <v>123</v>
      </c>
      <c r="P24" s="17" t="s">
        <v>181</v>
      </c>
      <c r="Q24" s="17">
        <v>22.72</v>
      </c>
      <c r="R24" s="17">
        <v>4</v>
      </c>
      <c r="S24" s="17">
        <v>7.3839999999999986</v>
      </c>
      <c r="T24" s="17" t="s">
        <v>174</v>
      </c>
      <c r="V24" t="s">
        <v>410</v>
      </c>
    </row>
    <row r="25" spans="1:35" x14ac:dyDescent="0.2">
      <c r="A25" s="17">
        <v>22</v>
      </c>
      <c r="B25" s="17" t="s">
        <v>182</v>
      </c>
      <c r="C25" s="18">
        <v>41618</v>
      </c>
      <c r="D25" s="18">
        <v>41622</v>
      </c>
      <c r="E25" s="17" t="s">
        <v>98</v>
      </c>
      <c r="F25" s="17" t="s">
        <v>183</v>
      </c>
      <c r="G25" s="17" t="s">
        <v>89</v>
      </c>
      <c r="H25" s="17" t="s">
        <v>75</v>
      </c>
      <c r="I25" s="17" t="s">
        <v>185</v>
      </c>
      <c r="J25" s="17" t="s">
        <v>186</v>
      </c>
      <c r="K25" s="17">
        <v>68025</v>
      </c>
      <c r="L25" s="17" t="s">
        <v>153</v>
      </c>
      <c r="M25" s="17" t="s">
        <v>187</v>
      </c>
      <c r="N25" s="17" t="s">
        <v>94</v>
      </c>
      <c r="O25" s="17" t="s">
        <v>116</v>
      </c>
      <c r="P25" s="17" t="s">
        <v>188</v>
      </c>
      <c r="Q25" s="17">
        <v>19.459999999999997</v>
      </c>
      <c r="R25" s="17">
        <v>7</v>
      </c>
      <c r="S25" s="17">
        <v>5.0595999999999997</v>
      </c>
      <c r="T25" s="17" t="s">
        <v>184</v>
      </c>
      <c r="V25" t="s">
        <v>411</v>
      </c>
    </row>
    <row r="26" spans="1:35" x14ac:dyDescent="0.2">
      <c r="A26" s="17">
        <v>23</v>
      </c>
      <c r="B26" s="17" t="s">
        <v>182</v>
      </c>
      <c r="C26" s="18">
        <v>41618</v>
      </c>
      <c r="D26" s="18">
        <v>41622</v>
      </c>
      <c r="E26" s="17" t="s">
        <v>98</v>
      </c>
      <c r="F26" s="17" t="s">
        <v>183</v>
      </c>
      <c r="G26" s="17" t="s">
        <v>89</v>
      </c>
      <c r="H26" s="17" t="s">
        <v>75</v>
      </c>
      <c r="I26" s="17" t="s">
        <v>185</v>
      </c>
      <c r="J26" s="17" t="s">
        <v>186</v>
      </c>
      <c r="K26" s="17">
        <v>68025</v>
      </c>
      <c r="L26" s="17" t="s">
        <v>153</v>
      </c>
      <c r="M26" s="17" t="s">
        <v>189</v>
      </c>
      <c r="N26" s="17" t="s">
        <v>94</v>
      </c>
      <c r="O26" s="17" t="s">
        <v>126</v>
      </c>
      <c r="P26" s="17" t="s">
        <v>190</v>
      </c>
      <c r="Q26" s="17">
        <v>60.339999999999996</v>
      </c>
      <c r="R26" s="17">
        <v>7</v>
      </c>
      <c r="S26" s="17">
        <v>15.688400000000001</v>
      </c>
      <c r="T26" s="17" t="s">
        <v>184</v>
      </c>
    </row>
    <row r="27" spans="1:35" x14ac:dyDescent="0.2">
      <c r="A27" s="17">
        <v>24</v>
      </c>
      <c r="B27" s="17" t="s">
        <v>191</v>
      </c>
      <c r="C27" s="18">
        <v>41837</v>
      </c>
      <c r="D27" s="18">
        <v>41839</v>
      </c>
      <c r="E27" s="17" t="s">
        <v>71</v>
      </c>
      <c r="F27" s="17" t="s">
        <v>192</v>
      </c>
      <c r="G27" s="17" t="s">
        <v>74</v>
      </c>
      <c r="H27" s="17" t="s">
        <v>75</v>
      </c>
      <c r="I27" s="17" t="s">
        <v>194</v>
      </c>
      <c r="J27" s="17" t="s">
        <v>195</v>
      </c>
      <c r="K27" s="17">
        <v>19140</v>
      </c>
      <c r="L27" s="17" t="s">
        <v>196</v>
      </c>
      <c r="M27" s="17" t="s">
        <v>197</v>
      </c>
      <c r="N27" s="17" t="s">
        <v>80</v>
      </c>
      <c r="O27" s="17" t="s">
        <v>84</v>
      </c>
      <c r="P27" s="17" t="s">
        <v>198</v>
      </c>
      <c r="Q27" s="17">
        <v>71.371999999999986</v>
      </c>
      <c r="R27" s="17">
        <v>2</v>
      </c>
      <c r="S27" s="17">
        <v>-1.0196000000000005</v>
      </c>
      <c r="T27" s="33" t="s">
        <v>193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x14ac:dyDescent="0.2">
      <c r="A28" s="17">
        <v>25</v>
      </c>
      <c r="B28" s="17" t="s">
        <v>199</v>
      </c>
      <c r="C28" s="18">
        <v>41177</v>
      </c>
      <c r="D28" s="18">
        <v>41182</v>
      </c>
      <c r="E28" s="17" t="s">
        <v>98</v>
      </c>
      <c r="F28" s="17" t="s">
        <v>200</v>
      </c>
      <c r="G28" s="17" t="s">
        <v>74</v>
      </c>
      <c r="H28" s="17" t="s">
        <v>75</v>
      </c>
      <c r="I28" s="17" t="s">
        <v>202</v>
      </c>
      <c r="J28" s="17" t="s">
        <v>169</v>
      </c>
      <c r="K28" s="17">
        <v>84057</v>
      </c>
      <c r="L28" s="17" t="s">
        <v>92</v>
      </c>
      <c r="M28" s="17" t="s">
        <v>103</v>
      </c>
      <c r="N28" s="17" t="s">
        <v>80</v>
      </c>
      <c r="O28" s="17" t="s">
        <v>104</v>
      </c>
      <c r="P28" s="17" t="s">
        <v>105</v>
      </c>
      <c r="Q28" s="17">
        <v>1044.6299999999999</v>
      </c>
      <c r="R28" s="17">
        <v>3</v>
      </c>
      <c r="S28" s="17">
        <v>240.26490000000001</v>
      </c>
      <c r="T28" s="33" t="s">
        <v>201</v>
      </c>
      <c r="U28" s="19"/>
      <c r="V28" s="30" t="s">
        <v>412</v>
      </c>
      <c r="W28" s="30" t="s">
        <v>413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5" x14ac:dyDescent="0.2">
      <c r="A29" s="17">
        <v>26</v>
      </c>
      <c r="B29" s="17" t="s">
        <v>203</v>
      </c>
      <c r="C29" s="18">
        <v>41290</v>
      </c>
      <c r="D29" s="18">
        <v>41294</v>
      </c>
      <c r="E29" s="17" t="s">
        <v>71</v>
      </c>
      <c r="F29" s="17" t="s">
        <v>204</v>
      </c>
      <c r="G29" s="17" t="s">
        <v>74</v>
      </c>
      <c r="H29" s="17" t="s">
        <v>75</v>
      </c>
      <c r="I29" s="17" t="s">
        <v>90</v>
      </c>
      <c r="J29" s="17" t="s">
        <v>91</v>
      </c>
      <c r="K29" s="17">
        <v>90049</v>
      </c>
      <c r="L29" s="17" t="s">
        <v>92</v>
      </c>
      <c r="M29" s="17" t="s">
        <v>206</v>
      </c>
      <c r="N29" s="17" t="s">
        <v>94</v>
      </c>
      <c r="O29" s="17" t="s">
        <v>123</v>
      </c>
      <c r="P29" s="17" t="s">
        <v>207</v>
      </c>
      <c r="Q29" s="17">
        <v>11.648000000000001</v>
      </c>
      <c r="R29" s="17">
        <v>2</v>
      </c>
      <c r="S29" s="17">
        <v>4.2224000000000004</v>
      </c>
      <c r="T29" s="33" t="s">
        <v>205</v>
      </c>
      <c r="U29" s="19"/>
      <c r="V29" s="25" t="s">
        <v>209</v>
      </c>
      <c r="W29" s="24">
        <v>5</v>
      </c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1:35" x14ac:dyDescent="0.2">
      <c r="A30" s="17">
        <v>27</v>
      </c>
      <c r="B30" s="17" t="s">
        <v>203</v>
      </c>
      <c r="C30" s="18">
        <v>41290</v>
      </c>
      <c r="D30" s="18">
        <v>41294</v>
      </c>
      <c r="E30" s="17" t="s">
        <v>71</v>
      </c>
      <c r="F30" s="17" t="s">
        <v>204</v>
      </c>
      <c r="G30" s="17" t="s">
        <v>74</v>
      </c>
      <c r="H30" s="17" t="s">
        <v>75</v>
      </c>
      <c r="I30" s="17" t="s">
        <v>90</v>
      </c>
      <c r="J30" s="17" t="s">
        <v>91</v>
      </c>
      <c r="K30" s="17">
        <v>90049</v>
      </c>
      <c r="L30" s="17" t="s">
        <v>92</v>
      </c>
      <c r="M30" s="17" t="s">
        <v>208</v>
      </c>
      <c r="N30" s="17" t="s">
        <v>119</v>
      </c>
      <c r="O30" s="17" t="s">
        <v>209</v>
      </c>
      <c r="P30" s="17" t="s">
        <v>210</v>
      </c>
      <c r="Q30" s="17">
        <v>90.570000000000007</v>
      </c>
      <c r="R30" s="17">
        <v>3</v>
      </c>
      <c r="S30" s="17">
        <v>11.774100000000004</v>
      </c>
      <c r="T30" s="33" t="s">
        <v>205</v>
      </c>
      <c r="U30" s="19"/>
      <c r="V30" s="25" t="s">
        <v>126</v>
      </c>
      <c r="W30" s="24">
        <v>3</v>
      </c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1:35" x14ac:dyDescent="0.2">
      <c r="A31" s="17">
        <v>28</v>
      </c>
      <c r="B31" s="17" t="s">
        <v>211</v>
      </c>
      <c r="C31" s="18">
        <v>41169</v>
      </c>
      <c r="D31" s="18">
        <v>41173</v>
      </c>
      <c r="E31" s="17" t="s">
        <v>98</v>
      </c>
      <c r="F31" s="17" t="s">
        <v>212</v>
      </c>
      <c r="G31" s="17" t="s">
        <v>74</v>
      </c>
      <c r="H31" s="17" t="s">
        <v>75</v>
      </c>
      <c r="I31" s="17" t="s">
        <v>194</v>
      </c>
      <c r="J31" s="17" t="s">
        <v>195</v>
      </c>
      <c r="K31" s="17">
        <v>19140</v>
      </c>
      <c r="L31" s="17" t="s">
        <v>196</v>
      </c>
      <c r="M31" s="17" t="s">
        <v>214</v>
      </c>
      <c r="N31" s="17" t="s">
        <v>80</v>
      </c>
      <c r="O31" s="17" t="s">
        <v>81</v>
      </c>
      <c r="P31" s="17" t="s">
        <v>215</v>
      </c>
      <c r="Q31" s="17">
        <v>3083.4300000000003</v>
      </c>
      <c r="R31" s="17">
        <v>7</v>
      </c>
      <c r="S31" s="17">
        <v>-1665.0522000000001</v>
      </c>
      <c r="T31" s="33" t="s">
        <v>213</v>
      </c>
      <c r="U31" s="19"/>
      <c r="V31" s="25" t="s">
        <v>116</v>
      </c>
      <c r="W31" s="24">
        <v>7</v>
      </c>
      <c r="X31" s="19"/>
      <c r="Y31" s="19"/>
      <c r="Z31" s="19"/>
      <c r="AA31" s="32"/>
      <c r="AB31" s="32"/>
      <c r="AC31" s="19"/>
      <c r="AD31" s="32"/>
      <c r="AE31" s="32"/>
      <c r="AF31" s="32"/>
      <c r="AG31" s="32"/>
      <c r="AH31" s="19"/>
      <c r="AI31" s="19"/>
    </row>
    <row r="32" spans="1:35" x14ac:dyDescent="0.2">
      <c r="A32" s="17">
        <v>29</v>
      </c>
      <c r="B32" s="17" t="s">
        <v>211</v>
      </c>
      <c r="C32" s="18">
        <v>41169</v>
      </c>
      <c r="D32" s="18">
        <v>41173</v>
      </c>
      <c r="E32" s="17" t="s">
        <v>98</v>
      </c>
      <c r="F32" s="17" t="s">
        <v>212</v>
      </c>
      <c r="G32" s="17" t="s">
        <v>74</v>
      </c>
      <c r="H32" s="17" t="s">
        <v>75</v>
      </c>
      <c r="I32" s="17" t="s">
        <v>194</v>
      </c>
      <c r="J32" s="17" t="s">
        <v>195</v>
      </c>
      <c r="K32" s="17">
        <v>19140</v>
      </c>
      <c r="L32" s="17" t="s">
        <v>196</v>
      </c>
      <c r="M32" s="17" t="s">
        <v>216</v>
      </c>
      <c r="N32" s="17" t="s">
        <v>94</v>
      </c>
      <c r="O32" s="17" t="s">
        <v>123</v>
      </c>
      <c r="P32" s="17" t="s">
        <v>217</v>
      </c>
      <c r="Q32" s="17">
        <v>9.6180000000000021</v>
      </c>
      <c r="R32" s="17">
        <v>2</v>
      </c>
      <c r="S32" s="17">
        <v>-7.0532000000000004</v>
      </c>
      <c r="T32" s="33" t="s">
        <v>213</v>
      </c>
      <c r="U32" s="19"/>
      <c r="V32" s="25" t="s">
        <v>123</v>
      </c>
      <c r="W32" s="24">
        <v>12</v>
      </c>
      <c r="X32" s="19"/>
      <c r="Y32" s="19"/>
      <c r="Z32" s="19"/>
      <c r="AA32" s="31"/>
      <c r="AB32" s="7"/>
      <c r="AC32" s="19"/>
      <c r="AD32" s="31"/>
      <c r="AE32" s="7"/>
      <c r="AF32" s="31"/>
      <c r="AG32" s="7"/>
      <c r="AH32" s="19"/>
      <c r="AI32" s="19"/>
    </row>
    <row r="33" spans="1:35" x14ac:dyDescent="0.2">
      <c r="A33" s="17">
        <v>30</v>
      </c>
      <c r="B33" s="17" t="s">
        <v>211</v>
      </c>
      <c r="C33" s="18">
        <v>41169</v>
      </c>
      <c r="D33" s="18">
        <v>41173</v>
      </c>
      <c r="E33" s="17" t="s">
        <v>98</v>
      </c>
      <c r="F33" s="17" t="s">
        <v>212</v>
      </c>
      <c r="G33" s="17" t="s">
        <v>74</v>
      </c>
      <c r="H33" s="17" t="s">
        <v>75</v>
      </c>
      <c r="I33" s="17" t="s">
        <v>194</v>
      </c>
      <c r="J33" s="17" t="s">
        <v>195</v>
      </c>
      <c r="K33" s="17">
        <v>19140</v>
      </c>
      <c r="L33" s="17" t="s">
        <v>196</v>
      </c>
      <c r="M33" s="17" t="s">
        <v>218</v>
      </c>
      <c r="N33" s="17" t="s">
        <v>80</v>
      </c>
      <c r="O33" s="17" t="s">
        <v>113</v>
      </c>
      <c r="P33" s="17" t="s">
        <v>219</v>
      </c>
      <c r="Q33" s="17">
        <v>124.20000000000002</v>
      </c>
      <c r="R33" s="17">
        <v>3</v>
      </c>
      <c r="S33" s="17">
        <v>15.524999999999991</v>
      </c>
      <c r="T33" s="33" t="s">
        <v>213</v>
      </c>
      <c r="U33" s="19"/>
      <c r="V33" s="25" t="s">
        <v>81</v>
      </c>
      <c r="W33" s="24">
        <v>3</v>
      </c>
      <c r="X33" s="19"/>
      <c r="Y33" s="19"/>
      <c r="Z33" s="19"/>
      <c r="AA33" s="31"/>
      <c r="AB33" s="7"/>
      <c r="AC33" s="19"/>
      <c r="AD33" s="31"/>
      <c r="AE33" s="7"/>
      <c r="AF33" s="31"/>
      <c r="AG33" s="7"/>
      <c r="AH33" s="19"/>
      <c r="AI33" s="19"/>
    </row>
    <row r="34" spans="1:35" x14ac:dyDescent="0.2">
      <c r="A34" s="17">
        <v>31</v>
      </c>
      <c r="B34" s="17" t="s">
        <v>211</v>
      </c>
      <c r="C34" s="18">
        <v>41169</v>
      </c>
      <c r="D34" s="18">
        <v>41173</v>
      </c>
      <c r="E34" s="17" t="s">
        <v>98</v>
      </c>
      <c r="F34" s="17" t="s">
        <v>212</v>
      </c>
      <c r="G34" s="17" t="s">
        <v>74</v>
      </c>
      <c r="H34" s="17" t="s">
        <v>75</v>
      </c>
      <c r="I34" s="17" t="s">
        <v>194</v>
      </c>
      <c r="J34" s="17" t="s">
        <v>195</v>
      </c>
      <c r="K34" s="17">
        <v>19140</v>
      </c>
      <c r="L34" s="17" t="s">
        <v>196</v>
      </c>
      <c r="M34" s="17" t="s">
        <v>220</v>
      </c>
      <c r="N34" s="17" t="s">
        <v>94</v>
      </c>
      <c r="O34" s="17" t="s">
        <v>221</v>
      </c>
      <c r="P34" s="17" t="s">
        <v>222</v>
      </c>
      <c r="Q34" s="17">
        <v>3.2640000000000002</v>
      </c>
      <c r="R34" s="17">
        <v>2</v>
      </c>
      <c r="S34" s="17">
        <v>1.1015999999999997</v>
      </c>
      <c r="T34" s="33" t="s">
        <v>213</v>
      </c>
      <c r="U34" s="19"/>
      <c r="V34" s="25" t="s">
        <v>84</v>
      </c>
      <c r="W34" s="24">
        <v>7</v>
      </c>
      <c r="X34" s="19"/>
      <c r="Y34" s="19"/>
      <c r="Z34" s="19"/>
      <c r="AA34" s="31"/>
      <c r="AB34" s="7"/>
      <c r="AC34" s="19"/>
      <c r="AD34" s="31"/>
      <c r="AE34" s="7"/>
      <c r="AF34" s="31"/>
      <c r="AG34" s="7"/>
      <c r="AH34" s="19"/>
      <c r="AI34" s="19"/>
    </row>
    <row r="35" spans="1:35" x14ac:dyDescent="0.2">
      <c r="A35" s="17">
        <v>32</v>
      </c>
      <c r="B35" s="17" t="s">
        <v>211</v>
      </c>
      <c r="C35" s="18">
        <v>41169</v>
      </c>
      <c r="D35" s="18">
        <v>41173</v>
      </c>
      <c r="E35" s="17" t="s">
        <v>98</v>
      </c>
      <c r="F35" s="17" t="s">
        <v>212</v>
      </c>
      <c r="G35" s="17" t="s">
        <v>74</v>
      </c>
      <c r="H35" s="17" t="s">
        <v>75</v>
      </c>
      <c r="I35" s="17" t="s">
        <v>194</v>
      </c>
      <c r="J35" s="17" t="s">
        <v>195</v>
      </c>
      <c r="K35" s="17">
        <v>19140</v>
      </c>
      <c r="L35" s="17" t="s">
        <v>196</v>
      </c>
      <c r="M35" s="17" t="s">
        <v>223</v>
      </c>
      <c r="N35" s="17" t="s">
        <v>94</v>
      </c>
      <c r="O35" s="17" t="s">
        <v>116</v>
      </c>
      <c r="P35" s="17" t="s">
        <v>224</v>
      </c>
      <c r="Q35" s="17">
        <v>86.304000000000002</v>
      </c>
      <c r="R35" s="17">
        <v>6</v>
      </c>
      <c r="S35" s="17">
        <v>9.7091999999999885</v>
      </c>
      <c r="T35" s="33" t="s">
        <v>213</v>
      </c>
      <c r="U35" s="19"/>
      <c r="V35" s="25" t="s">
        <v>221</v>
      </c>
      <c r="W35" s="24">
        <v>2</v>
      </c>
      <c r="X35" s="19"/>
      <c r="Y35" s="19"/>
      <c r="Z35" s="19"/>
      <c r="AA35" s="31"/>
      <c r="AB35" s="7"/>
      <c r="AC35" s="19"/>
      <c r="AD35" s="31"/>
      <c r="AE35" s="7"/>
      <c r="AF35" s="31"/>
      <c r="AG35" s="7"/>
      <c r="AH35" s="19"/>
      <c r="AI35" s="19"/>
    </row>
    <row r="36" spans="1:35" x14ac:dyDescent="0.2">
      <c r="A36" s="17">
        <v>33</v>
      </c>
      <c r="B36" s="17" t="s">
        <v>211</v>
      </c>
      <c r="C36" s="18">
        <v>41169</v>
      </c>
      <c r="D36" s="18">
        <v>41173</v>
      </c>
      <c r="E36" s="17" t="s">
        <v>98</v>
      </c>
      <c r="F36" s="17" t="s">
        <v>212</v>
      </c>
      <c r="G36" s="17" t="s">
        <v>74</v>
      </c>
      <c r="H36" s="17" t="s">
        <v>75</v>
      </c>
      <c r="I36" s="17" t="s">
        <v>194</v>
      </c>
      <c r="J36" s="17" t="s">
        <v>195</v>
      </c>
      <c r="K36" s="17">
        <v>19140</v>
      </c>
      <c r="L36" s="17" t="s">
        <v>196</v>
      </c>
      <c r="M36" s="17" t="s">
        <v>225</v>
      </c>
      <c r="N36" s="17" t="s">
        <v>94</v>
      </c>
      <c r="O36" s="17" t="s">
        <v>123</v>
      </c>
      <c r="P36" s="17" t="s">
        <v>226</v>
      </c>
      <c r="Q36" s="17">
        <v>6.8580000000000014</v>
      </c>
      <c r="R36" s="17">
        <v>6</v>
      </c>
      <c r="S36" s="17">
        <v>-5.7149999999999999</v>
      </c>
      <c r="T36" s="33" t="s">
        <v>213</v>
      </c>
      <c r="U36" s="19"/>
      <c r="V36" s="25" t="s">
        <v>317</v>
      </c>
      <c r="W36" s="24">
        <v>1</v>
      </c>
      <c r="X36" s="19"/>
      <c r="Y36" s="19"/>
      <c r="Z36" s="19"/>
      <c r="AA36" s="31"/>
      <c r="AB36" s="7"/>
      <c r="AC36" s="19"/>
      <c r="AD36" s="31"/>
      <c r="AE36" s="7"/>
      <c r="AF36" s="31"/>
      <c r="AG36" s="7"/>
      <c r="AH36" s="19"/>
      <c r="AI36" s="19"/>
    </row>
    <row r="37" spans="1:35" x14ac:dyDescent="0.2">
      <c r="A37" s="17">
        <v>34</v>
      </c>
      <c r="B37" s="17" t="s">
        <v>211</v>
      </c>
      <c r="C37" s="18">
        <v>41169</v>
      </c>
      <c r="D37" s="18">
        <v>41173</v>
      </c>
      <c r="E37" s="17" t="s">
        <v>98</v>
      </c>
      <c r="F37" s="17" t="s">
        <v>212</v>
      </c>
      <c r="G37" s="17" t="s">
        <v>74</v>
      </c>
      <c r="H37" s="17" t="s">
        <v>75</v>
      </c>
      <c r="I37" s="17" t="s">
        <v>194</v>
      </c>
      <c r="J37" s="17" t="s">
        <v>195</v>
      </c>
      <c r="K37" s="17">
        <v>19140</v>
      </c>
      <c r="L37" s="17" t="s">
        <v>196</v>
      </c>
      <c r="M37" s="17" t="s">
        <v>227</v>
      </c>
      <c r="N37" s="17" t="s">
        <v>94</v>
      </c>
      <c r="O37" s="17" t="s">
        <v>116</v>
      </c>
      <c r="P37" s="17" t="s">
        <v>228</v>
      </c>
      <c r="Q37" s="17">
        <v>15.76</v>
      </c>
      <c r="R37" s="17">
        <v>2</v>
      </c>
      <c r="S37" s="17">
        <v>3.5460000000000007</v>
      </c>
      <c r="T37" s="33" t="s">
        <v>213</v>
      </c>
      <c r="U37" s="19"/>
      <c r="V37" s="25" t="s">
        <v>113</v>
      </c>
      <c r="W37" s="24">
        <v>6</v>
      </c>
      <c r="X37" s="19"/>
      <c r="Y37" s="19"/>
      <c r="Z37" s="19"/>
      <c r="AA37" s="31"/>
      <c r="AB37" s="7"/>
      <c r="AC37" s="19"/>
      <c r="AD37" s="31"/>
      <c r="AE37" s="7"/>
      <c r="AF37" s="31"/>
      <c r="AG37" s="7"/>
      <c r="AH37" s="19"/>
      <c r="AI37" s="19"/>
    </row>
    <row r="38" spans="1:35" x14ac:dyDescent="0.2">
      <c r="A38" s="17">
        <v>35</v>
      </c>
      <c r="B38" s="17" t="s">
        <v>229</v>
      </c>
      <c r="C38" s="18">
        <v>41932</v>
      </c>
      <c r="D38" s="18">
        <v>41936</v>
      </c>
      <c r="E38" s="17" t="s">
        <v>71</v>
      </c>
      <c r="F38" s="17" t="s">
        <v>230</v>
      </c>
      <c r="G38" s="17" t="s">
        <v>150</v>
      </c>
      <c r="H38" s="17" t="s">
        <v>75</v>
      </c>
      <c r="I38" s="17" t="s">
        <v>232</v>
      </c>
      <c r="J38" s="17" t="s">
        <v>152</v>
      </c>
      <c r="K38" s="17">
        <v>77095</v>
      </c>
      <c r="L38" s="17" t="s">
        <v>153</v>
      </c>
      <c r="M38" s="17" t="s">
        <v>233</v>
      </c>
      <c r="N38" s="17" t="s">
        <v>94</v>
      </c>
      <c r="O38" s="17" t="s">
        <v>138</v>
      </c>
      <c r="P38" s="17" t="s">
        <v>234</v>
      </c>
      <c r="Q38" s="17">
        <v>29.472000000000001</v>
      </c>
      <c r="R38" s="17">
        <v>3</v>
      </c>
      <c r="S38" s="17">
        <v>9.9467999999999979</v>
      </c>
      <c r="T38" s="33" t="s">
        <v>231</v>
      </c>
      <c r="U38" s="19"/>
      <c r="V38" s="25" t="s">
        <v>95</v>
      </c>
      <c r="W38" s="24">
        <v>2</v>
      </c>
      <c r="X38" s="19"/>
      <c r="Y38" s="19"/>
      <c r="Z38" s="19"/>
      <c r="AA38" s="31"/>
      <c r="AB38" s="7"/>
      <c r="AC38" s="19"/>
      <c r="AD38" s="31"/>
      <c r="AE38" s="7"/>
      <c r="AF38" s="31"/>
      <c r="AG38" s="7"/>
      <c r="AH38" s="19"/>
      <c r="AI38" s="19"/>
    </row>
    <row r="39" spans="1:35" x14ac:dyDescent="0.2">
      <c r="A39" s="17">
        <v>36</v>
      </c>
      <c r="B39" s="17" t="s">
        <v>235</v>
      </c>
      <c r="C39" s="18">
        <v>41617</v>
      </c>
      <c r="D39" s="18">
        <v>41619</v>
      </c>
      <c r="E39" s="17" t="s">
        <v>236</v>
      </c>
      <c r="F39" s="17" t="s">
        <v>237</v>
      </c>
      <c r="G39" s="17" t="s">
        <v>89</v>
      </c>
      <c r="H39" s="17" t="s">
        <v>75</v>
      </c>
      <c r="I39" s="17" t="s">
        <v>239</v>
      </c>
      <c r="J39" s="17" t="s">
        <v>152</v>
      </c>
      <c r="K39" s="17">
        <v>75080</v>
      </c>
      <c r="L39" s="17" t="s">
        <v>153</v>
      </c>
      <c r="M39" s="17" t="s">
        <v>240</v>
      </c>
      <c r="N39" s="17" t="s">
        <v>119</v>
      </c>
      <c r="O39" s="17" t="s">
        <v>120</v>
      </c>
      <c r="P39" s="17" t="s">
        <v>241</v>
      </c>
      <c r="Q39" s="17">
        <v>1097.5440000000003</v>
      </c>
      <c r="R39" s="17">
        <v>7</v>
      </c>
      <c r="S39" s="17">
        <v>123.47369999999989</v>
      </c>
      <c r="T39" s="33" t="s">
        <v>238</v>
      </c>
      <c r="U39" s="19"/>
      <c r="V39" s="25" t="s">
        <v>138</v>
      </c>
      <c r="W39" s="24">
        <v>7</v>
      </c>
      <c r="X39" s="19"/>
      <c r="Y39" s="19"/>
      <c r="Z39" s="19"/>
      <c r="AA39" s="31"/>
      <c r="AB39" s="7"/>
      <c r="AC39" s="19"/>
      <c r="AD39" s="31"/>
      <c r="AE39" s="7"/>
      <c r="AF39" s="31"/>
      <c r="AG39" s="7"/>
      <c r="AH39" s="19"/>
      <c r="AI39" s="19"/>
    </row>
    <row r="40" spans="1:35" x14ac:dyDescent="0.2">
      <c r="A40" s="17">
        <v>37</v>
      </c>
      <c r="B40" s="17" t="s">
        <v>235</v>
      </c>
      <c r="C40" s="18">
        <v>41617</v>
      </c>
      <c r="D40" s="18">
        <v>41619</v>
      </c>
      <c r="E40" s="17" t="s">
        <v>236</v>
      </c>
      <c r="F40" s="17" t="s">
        <v>237</v>
      </c>
      <c r="G40" s="17" t="s">
        <v>89</v>
      </c>
      <c r="H40" s="17" t="s">
        <v>75</v>
      </c>
      <c r="I40" s="17" t="s">
        <v>239</v>
      </c>
      <c r="J40" s="17" t="s">
        <v>152</v>
      </c>
      <c r="K40" s="17">
        <v>75080</v>
      </c>
      <c r="L40" s="17" t="s">
        <v>153</v>
      </c>
      <c r="M40" s="17" t="s">
        <v>242</v>
      </c>
      <c r="N40" s="17" t="s">
        <v>80</v>
      </c>
      <c r="O40" s="17" t="s">
        <v>113</v>
      </c>
      <c r="P40" s="17" t="s">
        <v>243</v>
      </c>
      <c r="Q40" s="17">
        <v>190.92</v>
      </c>
      <c r="R40" s="17">
        <v>5</v>
      </c>
      <c r="S40" s="17">
        <v>-147.96300000000002</v>
      </c>
      <c r="T40" s="33" t="s">
        <v>238</v>
      </c>
      <c r="U40" s="19"/>
      <c r="V40" s="25" t="s">
        <v>120</v>
      </c>
      <c r="W40" s="24">
        <v>9</v>
      </c>
      <c r="X40" s="19"/>
      <c r="Y40" s="19"/>
      <c r="Z40" s="19"/>
      <c r="AA40" s="31"/>
      <c r="AB40" s="7"/>
      <c r="AC40" s="19"/>
      <c r="AD40" s="31"/>
      <c r="AE40" s="7"/>
      <c r="AF40" s="31"/>
      <c r="AG40" s="7"/>
      <c r="AH40" s="19"/>
      <c r="AI40" s="19"/>
    </row>
    <row r="41" spans="1:35" x14ac:dyDescent="0.2">
      <c r="A41" s="17">
        <v>38</v>
      </c>
      <c r="B41" s="17" t="s">
        <v>244</v>
      </c>
      <c r="C41" s="18">
        <v>41270</v>
      </c>
      <c r="D41" s="18">
        <v>41274</v>
      </c>
      <c r="E41" s="17" t="s">
        <v>98</v>
      </c>
      <c r="F41" s="17" t="s">
        <v>245</v>
      </c>
      <c r="G41" s="17" t="s">
        <v>150</v>
      </c>
      <c r="H41" s="17" t="s">
        <v>75</v>
      </c>
      <c r="I41" s="17" t="s">
        <v>232</v>
      </c>
      <c r="J41" s="17" t="s">
        <v>152</v>
      </c>
      <c r="K41" s="17">
        <v>77041</v>
      </c>
      <c r="L41" s="17" t="s">
        <v>153</v>
      </c>
      <c r="M41" s="17" t="s">
        <v>247</v>
      </c>
      <c r="N41" s="17" t="s">
        <v>94</v>
      </c>
      <c r="O41" s="17" t="s">
        <v>221</v>
      </c>
      <c r="P41" s="17" t="s">
        <v>248</v>
      </c>
      <c r="Q41" s="17">
        <v>113.328</v>
      </c>
      <c r="R41" s="17">
        <v>9</v>
      </c>
      <c r="S41" s="17">
        <v>35.414999999999999</v>
      </c>
      <c r="T41" s="33" t="s">
        <v>246</v>
      </c>
      <c r="U41" s="19"/>
      <c r="V41" s="25" t="s">
        <v>107</v>
      </c>
      <c r="W41" s="24">
        <v>8</v>
      </c>
      <c r="X41" s="19"/>
      <c r="Y41" s="19"/>
      <c r="Z41" s="19"/>
      <c r="AA41" s="31"/>
      <c r="AB41" s="7"/>
      <c r="AC41" s="19"/>
      <c r="AD41" s="31"/>
      <c r="AE41" s="7"/>
      <c r="AF41" s="31"/>
      <c r="AG41" s="7"/>
      <c r="AH41" s="19"/>
      <c r="AI41" s="19"/>
    </row>
    <row r="42" spans="1:35" x14ac:dyDescent="0.2">
      <c r="A42" s="17">
        <v>39</v>
      </c>
      <c r="B42" s="17" t="s">
        <v>244</v>
      </c>
      <c r="C42" s="18">
        <v>41270</v>
      </c>
      <c r="D42" s="18">
        <v>41274</v>
      </c>
      <c r="E42" s="17" t="s">
        <v>98</v>
      </c>
      <c r="F42" s="17" t="s">
        <v>245</v>
      </c>
      <c r="G42" s="17" t="s">
        <v>150</v>
      </c>
      <c r="H42" s="17" t="s">
        <v>75</v>
      </c>
      <c r="I42" s="17" t="s">
        <v>232</v>
      </c>
      <c r="J42" s="17" t="s">
        <v>152</v>
      </c>
      <c r="K42" s="17">
        <v>77041</v>
      </c>
      <c r="L42" s="17" t="s">
        <v>153</v>
      </c>
      <c r="M42" s="17" t="s">
        <v>249</v>
      </c>
      <c r="N42" s="17" t="s">
        <v>80</v>
      </c>
      <c r="O42" s="17" t="s">
        <v>81</v>
      </c>
      <c r="P42" s="17" t="s">
        <v>250</v>
      </c>
      <c r="Q42" s="17">
        <v>532.39919999999995</v>
      </c>
      <c r="R42" s="17">
        <v>3</v>
      </c>
      <c r="S42" s="17">
        <v>-46.976400000000012</v>
      </c>
      <c r="T42" s="33" t="s">
        <v>246</v>
      </c>
      <c r="U42" s="19"/>
      <c r="V42" s="25" t="s">
        <v>104</v>
      </c>
      <c r="W42" s="24">
        <v>3</v>
      </c>
      <c r="X42" s="19"/>
      <c r="Y42" s="19"/>
      <c r="Z42" s="19"/>
      <c r="AA42" s="31"/>
      <c r="AB42" s="7"/>
      <c r="AC42" s="19"/>
      <c r="AD42" s="31"/>
      <c r="AE42" s="7"/>
      <c r="AF42" s="31"/>
      <c r="AG42" s="7"/>
      <c r="AH42" s="19"/>
      <c r="AI42" s="19"/>
    </row>
    <row r="43" spans="1:35" x14ac:dyDescent="0.2">
      <c r="A43" s="17">
        <v>40</v>
      </c>
      <c r="B43" s="17" t="s">
        <v>244</v>
      </c>
      <c r="C43" s="18">
        <v>41270</v>
      </c>
      <c r="D43" s="18">
        <v>41274</v>
      </c>
      <c r="E43" s="17" t="s">
        <v>98</v>
      </c>
      <c r="F43" s="17" t="s">
        <v>245</v>
      </c>
      <c r="G43" s="17" t="s">
        <v>150</v>
      </c>
      <c r="H43" s="17" t="s">
        <v>75</v>
      </c>
      <c r="I43" s="17" t="s">
        <v>232</v>
      </c>
      <c r="J43" s="17" t="s">
        <v>152</v>
      </c>
      <c r="K43" s="17">
        <v>77041</v>
      </c>
      <c r="L43" s="17" t="s">
        <v>153</v>
      </c>
      <c r="M43" s="17" t="s">
        <v>251</v>
      </c>
      <c r="N43" s="17" t="s">
        <v>80</v>
      </c>
      <c r="O43" s="17" t="s">
        <v>84</v>
      </c>
      <c r="P43" s="17" t="s">
        <v>252</v>
      </c>
      <c r="Q43" s="17">
        <v>212.05799999999999</v>
      </c>
      <c r="R43" s="17">
        <v>3</v>
      </c>
      <c r="S43" s="17">
        <v>-15.146999999999991</v>
      </c>
      <c r="T43" s="33" t="s">
        <v>246</v>
      </c>
      <c r="U43" s="19"/>
      <c r="V43" s="7"/>
      <c r="W43" s="7"/>
      <c r="X43" s="19"/>
      <c r="Y43" s="19"/>
      <c r="Z43" s="19"/>
      <c r="AA43" s="7"/>
      <c r="AB43" s="7"/>
      <c r="AC43" s="19"/>
      <c r="AD43" s="7"/>
      <c r="AE43" s="7"/>
      <c r="AF43" s="31"/>
      <c r="AG43" s="7"/>
      <c r="AH43" s="19"/>
      <c r="AI43" s="19"/>
    </row>
    <row r="44" spans="1:35" x14ac:dyDescent="0.2">
      <c r="A44" s="17">
        <v>41</v>
      </c>
      <c r="B44" s="17" t="s">
        <v>244</v>
      </c>
      <c r="C44" s="18">
        <v>41270</v>
      </c>
      <c r="D44" s="18">
        <v>41274</v>
      </c>
      <c r="E44" s="17" t="s">
        <v>98</v>
      </c>
      <c r="F44" s="17" t="s">
        <v>245</v>
      </c>
      <c r="G44" s="17" t="s">
        <v>150</v>
      </c>
      <c r="H44" s="17" t="s">
        <v>75</v>
      </c>
      <c r="I44" s="17" t="s">
        <v>232</v>
      </c>
      <c r="J44" s="17" t="s">
        <v>152</v>
      </c>
      <c r="K44" s="17">
        <v>77041</v>
      </c>
      <c r="L44" s="17" t="s">
        <v>153</v>
      </c>
      <c r="M44" s="17" t="s">
        <v>253</v>
      </c>
      <c r="N44" s="17" t="s">
        <v>119</v>
      </c>
      <c r="O44" s="17" t="s">
        <v>120</v>
      </c>
      <c r="P44" s="17" t="s">
        <v>254</v>
      </c>
      <c r="Q44" s="17">
        <v>371.16800000000001</v>
      </c>
      <c r="R44" s="17">
        <v>4</v>
      </c>
      <c r="S44" s="17">
        <v>41.756399999999957</v>
      </c>
      <c r="T44" s="33" t="s">
        <v>246</v>
      </c>
      <c r="U44" s="19"/>
      <c r="V44" s="7"/>
      <c r="W44" s="7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spans="1:35" x14ac:dyDescent="0.2">
      <c r="A45" s="17">
        <v>42</v>
      </c>
      <c r="B45" s="17" t="s">
        <v>255</v>
      </c>
      <c r="C45" s="18">
        <v>41893</v>
      </c>
      <c r="D45" s="18">
        <v>41898</v>
      </c>
      <c r="E45" s="17" t="s">
        <v>98</v>
      </c>
      <c r="F45" s="17" t="s">
        <v>256</v>
      </c>
      <c r="G45" s="17" t="s">
        <v>89</v>
      </c>
      <c r="H45" s="17" t="s">
        <v>75</v>
      </c>
      <c r="I45" s="17" t="s">
        <v>258</v>
      </c>
      <c r="J45" s="17" t="s">
        <v>259</v>
      </c>
      <c r="K45" s="17">
        <v>60540</v>
      </c>
      <c r="L45" s="17" t="s">
        <v>153</v>
      </c>
      <c r="M45" s="17" t="s">
        <v>260</v>
      </c>
      <c r="N45" s="17" t="s">
        <v>119</v>
      </c>
      <c r="O45" s="17" t="s">
        <v>120</v>
      </c>
      <c r="P45" s="17" t="s">
        <v>261</v>
      </c>
      <c r="Q45" s="17">
        <v>147.16800000000001</v>
      </c>
      <c r="R45" s="17">
        <v>4</v>
      </c>
      <c r="S45" s="17">
        <v>16.556399999999996</v>
      </c>
      <c r="T45" s="33" t="s">
        <v>257</v>
      </c>
      <c r="U45" s="19"/>
      <c r="V45" s="7"/>
      <c r="W45" s="7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spans="1:35" x14ac:dyDescent="0.2">
      <c r="A46" s="17">
        <v>43</v>
      </c>
      <c r="B46" s="17" t="s">
        <v>262</v>
      </c>
      <c r="C46" s="18">
        <v>41473</v>
      </c>
      <c r="D46" s="18">
        <v>41478</v>
      </c>
      <c r="E46" s="17" t="s">
        <v>98</v>
      </c>
      <c r="F46" s="17" t="s">
        <v>263</v>
      </c>
      <c r="G46" s="17" t="s">
        <v>89</v>
      </c>
      <c r="H46" s="17" t="s">
        <v>75</v>
      </c>
      <c r="I46" s="17" t="s">
        <v>90</v>
      </c>
      <c r="J46" s="17" t="s">
        <v>91</v>
      </c>
      <c r="K46" s="17">
        <v>90049</v>
      </c>
      <c r="L46" s="17" t="s">
        <v>92</v>
      </c>
      <c r="M46" s="17" t="s">
        <v>265</v>
      </c>
      <c r="N46" s="17" t="s">
        <v>94</v>
      </c>
      <c r="O46" s="17" t="s">
        <v>107</v>
      </c>
      <c r="P46" s="17" t="s">
        <v>266</v>
      </c>
      <c r="Q46" s="17">
        <v>77.88</v>
      </c>
      <c r="R46" s="17">
        <v>2</v>
      </c>
      <c r="S46" s="17">
        <v>3.8939999999999912</v>
      </c>
      <c r="T46" s="33" t="s">
        <v>264</v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</row>
    <row r="47" spans="1:35" x14ac:dyDescent="0.2">
      <c r="A47" s="17">
        <v>44</v>
      </c>
      <c r="B47" s="17" t="s">
        <v>267</v>
      </c>
      <c r="C47" s="18">
        <v>41902</v>
      </c>
      <c r="D47" s="18">
        <v>41906</v>
      </c>
      <c r="E47" s="17" t="s">
        <v>98</v>
      </c>
      <c r="F47" s="17" t="s">
        <v>268</v>
      </c>
      <c r="G47" s="17" t="s">
        <v>89</v>
      </c>
      <c r="H47" s="17" t="s">
        <v>75</v>
      </c>
      <c r="I47" s="17" t="s">
        <v>270</v>
      </c>
      <c r="J47" s="17" t="s">
        <v>102</v>
      </c>
      <c r="K47" s="17">
        <v>32935</v>
      </c>
      <c r="L47" s="17" t="s">
        <v>78</v>
      </c>
      <c r="M47" s="17" t="s">
        <v>271</v>
      </c>
      <c r="N47" s="17" t="s">
        <v>94</v>
      </c>
      <c r="O47" s="17" t="s">
        <v>107</v>
      </c>
      <c r="P47" s="17" t="s">
        <v>272</v>
      </c>
      <c r="Q47" s="17">
        <v>95.616</v>
      </c>
      <c r="R47" s="17">
        <v>2</v>
      </c>
      <c r="S47" s="17">
        <v>9.5616000000000092</v>
      </c>
      <c r="T47" s="17" t="s">
        <v>269</v>
      </c>
    </row>
    <row r="48" spans="1:35" x14ac:dyDescent="0.2">
      <c r="A48" s="17">
        <v>45</v>
      </c>
      <c r="B48" s="17" t="s">
        <v>273</v>
      </c>
      <c r="C48" s="18">
        <v>41345</v>
      </c>
      <c r="D48" s="18">
        <v>41347</v>
      </c>
      <c r="E48" s="17" t="s">
        <v>236</v>
      </c>
      <c r="F48" s="17" t="s">
        <v>274</v>
      </c>
      <c r="G48" s="17" t="s">
        <v>89</v>
      </c>
      <c r="H48" s="17" t="s">
        <v>75</v>
      </c>
      <c r="I48" s="17" t="s">
        <v>276</v>
      </c>
      <c r="J48" s="17" t="s">
        <v>277</v>
      </c>
      <c r="K48" s="17">
        <v>55122</v>
      </c>
      <c r="L48" s="17" t="s">
        <v>153</v>
      </c>
      <c r="M48" s="17" t="s">
        <v>278</v>
      </c>
      <c r="N48" s="17" t="s">
        <v>119</v>
      </c>
      <c r="O48" s="17" t="s">
        <v>209</v>
      </c>
      <c r="P48" s="17" t="s">
        <v>279</v>
      </c>
      <c r="Q48" s="17">
        <v>45.98</v>
      </c>
      <c r="R48" s="17">
        <v>2</v>
      </c>
      <c r="S48" s="17">
        <v>19.7714</v>
      </c>
      <c r="T48" s="17" t="s">
        <v>275</v>
      </c>
    </row>
    <row r="49" spans="1:20" x14ac:dyDescent="0.2">
      <c r="A49" s="17">
        <v>46</v>
      </c>
      <c r="B49" s="17" t="s">
        <v>273</v>
      </c>
      <c r="C49" s="18">
        <v>41345</v>
      </c>
      <c r="D49" s="18">
        <v>41347</v>
      </c>
      <c r="E49" s="17" t="s">
        <v>236</v>
      </c>
      <c r="F49" s="17" t="s">
        <v>274</v>
      </c>
      <c r="G49" s="17" t="s">
        <v>89</v>
      </c>
      <c r="H49" s="17" t="s">
        <v>75</v>
      </c>
      <c r="I49" s="17" t="s">
        <v>276</v>
      </c>
      <c r="J49" s="17" t="s">
        <v>277</v>
      </c>
      <c r="K49" s="17">
        <v>55122</v>
      </c>
      <c r="L49" s="17" t="s">
        <v>153</v>
      </c>
      <c r="M49" s="17" t="s">
        <v>280</v>
      </c>
      <c r="N49" s="17" t="s">
        <v>94</v>
      </c>
      <c r="O49" s="17" t="s">
        <v>123</v>
      </c>
      <c r="P49" s="17" t="s">
        <v>281</v>
      </c>
      <c r="Q49" s="17">
        <v>17.46</v>
      </c>
      <c r="R49" s="17">
        <v>2</v>
      </c>
      <c r="S49" s="17">
        <v>8.2061999999999991</v>
      </c>
      <c r="T49" s="17" t="s">
        <v>275</v>
      </c>
    </row>
    <row r="50" spans="1:20" x14ac:dyDescent="0.2">
      <c r="A50" s="17">
        <v>47</v>
      </c>
      <c r="B50" s="17" t="s">
        <v>282</v>
      </c>
      <c r="C50" s="18">
        <v>40836</v>
      </c>
      <c r="D50" s="18">
        <v>40841</v>
      </c>
      <c r="E50" s="17" t="s">
        <v>71</v>
      </c>
      <c r="F50" s="17" t="s">
        <v>283</v>
      </c>
      <c r="G50" s="17" t="s">
        <v>74</v>
      </c>
      <c r="H50" s="17" t="s">
        <v>75</v>
      </c>
      <c r="I50" s="17" t="s">
        <v>285</v>
      </c>
      <c r="J50" s="17" t="s">
        <v>286</v>
      </c>
      <c r="K50" s="17">
        <v>48185</v>
      </c>
      <c r="L50" s="17" t="s">
        <v>153</v>
      </c>
      <c r="M50" s="17" t="s">
        <v>287</v>
      </c>
      <c r="N50" s="17" t="s">
        <v>94</v>
      </c>
      <c r="O50" s="17" t="s">
        <v>107</v>
      </c>
      <c r="P50" s="17" t="s">
        <v>288</v>
      </c>
      <c r="Q50" s="17">
        <v>211.96</v>
      </c>
      <c r="R50" s="17">
        <v>4</v>
      </c>
      <c r="S50" s="17">
        <v>8.4783999999999935</v>
      </c>
      <c r="T50" s="17" t="s">
        <v>284</v>
      </c>
    </row>
    <row r="51" spans="1:20" x14ac:dyDescent="0.2">
      <c r="A51" s="17">
        <v>48</v>
      </c>
      <c r="B51" s="17" t="s">
        <v>289</v>
      </c>
      <c r="C51" s="18">
        <v>41446</v>
      </c>
      <c r="D51" s="18">
        <v>41451</v>
      </c>
      <c r="E51" s="17" t="s">
        <v>98</v>
      </c>
      <c r="F51" s="17" t="s">
        <v>290</v>
      </c>
      <c r="G51" s="17" t="s">
        <v>74</v>
      </c>
      <c r="H51" s="17" t="s">
        <v>75</v>
      </c>
      <c r="I51" s="17" t="s">
        <v>292</v>
      </c>
      <c r="J51" s="17" t="s">
        <v>293</v>
      </c>
      <c r="K51" s="17">
        <v>19901</v>
      </c>
      <c r="L51" s="17" t="s">
        <v>196</v>
      </c>
      <c r="M51" s="17" t="s">
        <v>294</v>
      </c>
      <c r="N51" s="17" t="s">
        <v>119</v>
      </c>
      <c r="O51" s="17" t="s">
        <v>209</v>
      </c>
      <c r="P51" s="17" t="s">
        <v>295</v>
      </c>
      <c r="Q51" s="17">
        <v>45</v>
      </c>
      <c r="R51" s="17">
        <v>3</v>
      </c>
      <c r="S51" s="17">
        <v>4.9500000000000011</v>
      </c>
      <c r="T51" s="17" t="s">
        <v>291</v>
      </c>
    </row>
    <row r="52" spans="1:20" x14ac:dyDescent="0.2">
      <c r="A52" s="17">
        <v>49</v>
      </c>
      <c r="B52" s="17" t="s">
        <v>289</v>
      </c>
      <c r="C52" s="18">
        <v>41446</v>
      </c>
      <c r="D52" s="18">
        <v>41451</v>
      </c>
      <c r="E52" s="17" t="s">
        <v>98</v>
      </c>
      <c r="F52" s="17" t="s">
        <v>290</v>
      </c>
      <c r="G52" s="17" t="s">
        <v>74</v>
      </c>
      <c r="H52" s="17" t="s">
        <v>75</v>
      </c>
      <c r="I52" s="17" t="s">
        <v>292</v>
      </c>
      <c r="J52" s="17" t="s">
        <v>293</v>
      </c>
      <c r="K52" s="17">
        <v>19901</v>
      </c>
      <c r="L52" s="17" t="s">
        <v>196</v>
      </c>
      <c r="M52" s="17" t="s">
        <v>296</v>
      </c>
      <c r="N52" s="17" t="s">
        <v>119</v>
      </c>
      <c r="O52" s="17" t="s">
        <v>120</v>
      </c>
      <c r="P52" s="17" t="s">
        <v>297</v>
      </c>
      <c r="Q52" s="17">
        <v>21.8</v>
      </c>
      <c r="R52" s="17">
        <v>2</v>
      </c>
      <c r="S52" s="17">
        <v>6.104000000000001</v>
      </c>
      <c r="T52" s="17" t="s">
        <v>291</v>
      </c>
    </row>
    <row r="53" spans="1:20" x14ac:dyDescent="0.2">
      <c r="A53" s="17">
        <v>50</v>
      </c>
      <c r="B53" s="17" t="s">
        <v>298</v>
      </c>
      <c r="C53" s="18">
        <v>41017</v>
      </c>
      <c r="D53" s="18">
        <v>41021</v>
      </c>
      <c r="E53" s="17" t="s">
        <v>98</v>
      </c>
      <c r="F53" s="17" t="s">
        <v>299</v>
      </c>
      <c r="G53" s="17" t="s">
        <v>74</v>
      </c>
      <c r="H53" s="17" t="s">
        <v>75</v>
      </c>
      <c r="I53" s="17" t="s">
        <v>301</v>
      </c>
      <c r="J53" s="17" t="s">
        <v>302</v>
      </c>
      <c r="K53" s="17">
        <v>47150</v>
      </c>
      <c r="L53" s="17" t="s">
        <v>153</v>
      </c>
      <c r="M53" s="17" t="s">
        <v>303</v>
      </c>
      <c r="N53" s="17" t="s">
        <v>94</v>
      </c>
      <c r="O53" s="17" t="s">
        <v>123</v>
      </c>
      <c r="P53" s="17" t="s">
        <v>304</v>
      </c>
      <c r="Q53" s="17">
        <v>38.22</v>
      </c>
      <c r="R53" s="17">
        <v>6</v>
      </c>
      <c r="S53" s="17">
        <v>17.9634</v>
      </c>
      <c r="T53" s="17" t="s">
        <v>300</v>
      </c>
    </row>
    <row r="54" spans="1:20" x14ac:dyDescent="0.2">
      <c r="A54" s="17">
        <v>51</v>
      </c>
      <c r="B54" s="17" t="s">
        <v>298</v>
      </c>
      <c r="C54" s="18">
        <v>41017</v>
      </c>
      <c r="D54" s="18">
        <v>41021</v>
      </c>
      <c r="E54" s="17" t="s">
        <v>98</v>
      </c>
      <c r="F54" s="17" t="s">
        <v>299</v>
      </c>
      <c r="G54" s="17" t="s">
        <v>74</v>
      </c>
      <c r="H54" s="17" t="s">
        <v>75</v>
      </c>
      <c r="I54" s="17" t="s">
        <v>301</v>
      </c>
      <c r="J54" s="17" t="s">
        <v>302</v>
      </c>
      <c r="K54" s="17">
        <v>47150</v>
      </c>
      <c r="L54" s="17" t="s">
        <v>153</v>
      </c>
      <c r="M54" s="17" t="s">
        <v>305</v>
      </c>
      <c r="N54" s="17" t="s">
        <v>94</v>
      </c>
      <c r="O54" s="17" t="s">
        <v>95</v>
      </c>
      <c r="P54" s="17" t="s">
        <v>306</v>
      </c>
      <c r="Q54" s="17">
        <v>75.179999999999993</v>
      </c>
      <c r="R54" s="17">
        <v>6</v>
      </c>
      <c r="S54" s="17">
        <v>35.334599999999995</v>
      </c>
      <c r="T54" s="17" t="s">
        <v>300</v>
      </c>
    </row>
    <row r="55" spans="1:20" x14ac:dyDescent="0.2">
      <c r="A55" s="17">
        <v>52</v>
      </c>
      <c r="B55" s="17" t="s">
        <v>298</v>
      </c>
      <c r="C55" s="18">
        <v>41017</v>
      </c>
      <c r="D55" s="18">
        <v>41021</v>
      </c>
      <c r="E55" s="17" t="s">
        <v>98</v>
      </c>
      <c r="F55" s="17" t="s">
        <v>299</v>
      </c>
      <c r="G55" s="17" t="s">
        <v>74</v>
      </c>
      <c r="H55" s="17" t="s">
        <v>75</v>
      </c>
      <c r="I55" s="17" t="s">
        <v>301</v>
      </c>
      <c r="J55" s="17" t="s">
        <v>302</v>
      </c>
      <c r="K55" s="17">
        <v>47150</v>
      </c>
      <c r="L55" s="17" t="s">
        <v>153</v>
      </c>
      <c r="M55" s="17" t="s">
        <v>307</v>
      </c>
      <c r="N55" s="17" t="s">
        <v>80</v>
      </c>
      <c r="O55" s="17" t="s">
        <v>113</v>
      </c>
      <c r="P55" s="17" t="s">
        <v>308</v>
      </c>
      <c r="Q55" s="17">
        <v>6.16</v>
      </c>
      <c r="R55" s="17">
        <v>2</v>
      </c>
      <c r="S55" s="17">
        <v>2.9567999999999999</v>
      </c>
      <c r="T55" s="17" t="s">
        <v>300</v>
      </c>
    </row>
    <row r="56" spans="1:20" x14ac:dyDescent="0.2">
      <c r="A56" s="17">
        <v>53</v>
      </c>
      <c r="B56" s="17" t="s">
        <v>298</v>
      </c>
      <c r="C56" s="18">
        <v>41017</v>
      </c>
      <c r="D56" s="18">
        <v>41021</v>
      </c>
      <c r="E56" s="17" t="s">
        <v>98</v>
      </c>
      <c r="F56" s="17" t="s">
        <v>299</v>
      </c>
      <c r="G56" s="17" t="s">
        <v>74</v>
      </c>
      <c r="H56" s="17" t="s">
        <v>75</v>
      </c>
      <c r="I56" s="17" t="s">
        <v>301</v>
      </c>
      <c r="J56" s="17" t="s">
        <v>302</v>
      </c>
      <c r="K56" s="17">
        <v>47150</v>
      </c>
      <c r="L56" s="17" t="s">
        <v>153</v>
      </c>
      <c r="M56" s="17" t="s">
        <v>309</v>
      </c>
      <c r="N56" s="17" t="s">
        <v>80</v>
      </c>
      <c r="O56" s="17" t="s">
        <v>84</v>
      </c>
      <c r="P56" s="17" t="s">
        <v>310</v>
      </c>
      <c r="Q56" s="17">
        <v>89.99</v>
      </c>
      <c r="R56" s="17">
        <v>1</v>
      </c>
      <c r="S56" s="17">
        <v>17.098099999999988</v>
      </c>
      <c r="T56" s="17" t="s">
        <v>300</v>
      </c>
    </row>
    <row r="57" spans="1:20" x14ac:dyDescent="0.2">
      <c r="A57" s="17">
        <v>54</v>
      </c>
      <c r="B57" s="17" t="s">
        <v>311</v>
      </c>
      <c r="C57" s="18">
        <v>41620</v>
      </c>
      <c r="D57" s="18">
        <v>41626</v>
      </c>
      <c r="E57" s="17" t="s">
        <v>98</v>
      </c>
      <c r="F57" s="17" t="s">
        <v>312</v>
      </c>
      <c r="G57" s="17" t="s">
        <v>89</v>
      </c>
      <c r="H57" s="17" t="s">
        <v>75</v>
      </c>
      <c r="I57" s="17" t="s">
        <v>314</v>
      </c>
      <c r="J57" s="17" t="s">
        <v>315</v>
      </c>
      <c r="K57" s="17">
        <v>10024</v>
      </c>
      <c r="L57" s="17" t="s">
        <v>196</v>
      </c>
      <c r="M57" s="17" t="s">
        <v>316</v>
      </c>
      <c r="N57" s="17" t="s">
        <v>94</v>
      </c>
      <c r="O57" s="17" t="s">
        <v>317</v>
      </c>
      <c r="P57" s="17" t="s">
        <v>318</v>
      </c>
      <c r="Q57" s="17">
        <v>15.260000000000002</v>
      </c>
      <c r="R57" s="17">
        <v>7</v>
      </c>
      <c r="S57" s="17">
        <v>6.2566000000000006</v>
      </c>
      <c r="T57" s="17" t="s">
        <v>313</v>
      </c>
    </row>
    <row r="58" spans="1:20" x14ac:dyDescent="0.2">
      <c r="A58" s="17">
        <v>55</v>
      </c>
      <c r="B58" s="17" t="s">
        <v>311</v>
      </c>
      <c r="C58" s="18">
        <v>41620</v>
      </c>
      <c r="D58" s="18">
        <v>41626</v>
      </c>
      <c r="E58" s="17" t="s">
        <v>98</v>
      </c>
      <c r="F58" s="17" t="s">
        <v>312</v>
      </c>
      <c r="G58" s="17" t="s">
        <v>89</v>
      </c>
      <c r="H58" s="17" t="s">
        <v>75</v>
      </c>
      <c r="I58" s="17" t="s">
        <v>314</v>
      </c>
      <c r="J58" s="17" t="s">
        <v>315</v>
      </c>
      <c r="K58" s="17">
        <v>10024</v>
      </c>
      <c r="L58" s="17" t="s">
        <v>196</v>
      </c>
      <c r="M58" s="17" t="s">
        <v>319</v>
      </c>
      <c r="N58" s="17" t="s">
        <v>119</v>
      </c>
      <c r="O58" s="17" t="s">
        <v>120</v>
      </c>
      <c r="P58" s="17" t="s">
        <v>320</v>
      </c>
      <c r="Q58" s="17">
        <v>1029.95</v>
      </c>
      <c r="R58" s="17">
        <v>5</v>
      </c>
      <c r="S58" s="17">
        <v>298.68549999999999</v>
      </c>
      <c r="T58" s="17" t="s">
        <v>313</v>
      </c>
    </row>
    <row r="59" spans="1:20" x14ac:dyDescent="0.2">
      <c r="A59" s="17">
        <v>56</v>
      </c>
      <c r="B59" s="17" t="s">
        <v>321</v>
      </c>
      <c r="C59" s="18">
        <v>41443</v>
      </c>
      <c r="D59" s="18">
        <v>41444</v>
      </c>
      <c r="E59" s="17" t="s">
        <v>236</v>
      </c>
      <c r="F59" s="17" t="s">
        <v>322</v>
      </c>
      <c r="G59" s="17" t="s">
        <v>74</v>
      </c>
      <c r="H59" s="17" t="s">
        <v>75</v>
      </c>
      <c r="I59" s="17" t="s">
        <v>324</v>
      </c>
      <c r="J59" s="17" t="s">
        <v>315</v>
      </c>
      <c r="K59" s="17">
        <v>12180</v>
      </c>
      <c r="L59" s="17" t="s">
        <v>196</v>
      </c>
      <c r="M59" s="17" t="s">
        <v>325</v>
      </c>
      <c r="N59" s="17" t="s">
        <v>94</v>
      </c>
      <c r="O59" s="17" t="s">
        <v>107</v>
      </c>
      <c r="P59" s="17" t="s">
        <v>326</v>
      </c>
      <c r="Q59" s="17">
        <v>208.56</v>
      </c>
      <c r="R59" s="17">
        <v>6</v>
      </c>
      <c r="S59" s="17">
        <v>52.139999999999986</v>
      </c>
      <c r="T59" s="17" t="s">
        <v>323</v>
      </c>
    </row>
    <row r="60" spans="1:20" x14ac:dyDescent="0.2">
      <c r="A60" s="17">
        <v>57</v>
      </c>
      <c r="B60" s="17" t="s">
        <v>321</v>
      </c>
      <c r="C60" s="18">
        <v>41443</v>
      </c>
      <c r="D60" s="18">
        <v>41444</v>
      </c>
      <c r="E60" s="17" t="s">
        <v>236</v>
      </c>
      <c r="F60" s="17" t="s">
        <v>322</v>
      </c>
      <c r="G60" s="17" t="s">
        <v>74</v>
      </c>
      <c r="H60" s="17" t="s">
        <v>75</v>
      </c>
      <c r="I60" s="17" t="s">
        <v>324</v>
      </c>
      <c r="J60" s="17" t="s">
        <v>315</v>
      </c>
      <c r="K60" s="17">
        <v>12180</v>
      </c>
      <c r="L60" s="17" t="s">
        <v>196</v>
      </c>
      <c r="M60" s="17" t="s">
        <v>327</v>
      </c>
      <c r="N60" s="17" t="s">
        <v>94</v>
      </c>
      <c r="O60" s="17" t="s">
        <v>138</v>
      </c>
      <c r="P60" s="17" t="s">
        <v>328</v>
      </c>
      <c r="Q60" s="17">
        <v>32.400000000000006</v>
      </c>
      <c r="R60" s="17">
        <v>5</v>
      </c>
      <c r="S60" s="17">
        <v>15.552000000000001</v>
      </c>
      <c r="T60" s="17" t="s">
        <v>323</v>
      </c>
    </row>
    <row r="61" spans="1:20" x14ac:dyDescent="0.2">
      <c r="A61" s="17">
        <v>58</v>
      </c>
      <c r="B61" s="17" t="s">
        <v>321</v>
      </c>
      <c r="C61" s="18">
        <v>41443</v>
      </c>
      <c r="D61" s="18">
        <v>41444</v>
      </c>
      <c r="E61" s="17" t="s">
        <v>236</v>
      </c>
      <c r="F61" s="17" t="s">
        <v>322</v>
      </c>
      <c r="G61" s="17" t="s">
        <v>74</v>
      </c>
      <c r="H61" s="17" t="s">
        <v>75</v>
      </c>
      <c r="I61" s="17" t="s">
        <v>324</v>
      </c>
      <c r="J61" s="17" t="s">
        <v>315</v>
      </c>
      <c r="K61" s="17">
        <v>12180</v>
      </c>
      <c r="L61" s="17" t="s">
        <v>196</v>
      </c>
      <c r="M61" s="17" t="s">
        <v>329</v>
      </c>
      <c r="N61" s="17" t="s">
        <v>80</v>
      </c>
      <c r="O61" s="17" t="s">
        <v>84</v>
      </c>
      <c r="P61" s="17" t="s">
        <v>330</v>
      </c>
      <c r="Q61" s="17">
        <v>319.41000000000003</v>
      </c>
      <c r="R61" s="17">
        <v>5</v>
      </c>
      <c r="S61" s="17">
        <v>7.0980000000000061</v>
      </c>
      <c r="T61" s="17" t="s">
        <v>323</v>
      </c>
    </row>
    <row r="62" spans="1:20" x14ac:dyDescent="0.2">
      <c r="A62" s="17">
        <v>59</v>
      </c>
      <c r="B62" s="17" t="s">
        <v>321</v>
      </c>
      <c r="C62" s="18">
        <v>41443</v>
      </c>
      <c r="D62" s="18">
        <v>41444</v>
      </c>
      <c r="E62" s="17" t="s">
        <v>236</v>
      </c>
      <c r="F62" s="17" t="s">
        <v>322</v>
      </c>
      <c r="G62" s="17" t="s">
        <v>74</v>
      </c>
      <c r="H62" s="17" t="s">
        <v>75</v>
      </c>
      <c r="I62" s="17" t="s">
        <v>324</v>
      </c>
      <c r="J62" s="17" t="s">
        <v>315</v>
      </c>
      <c r="K62" s="17">
        <v>12180</v>
      </c>
      <c r="L62" s="17" t="s">
        <v>196</v>
      </c>
      <c r="M62" s="17" t="s">
        <v>331</v>
      </c>
      <c r="N62" s="17" t="s">
        <v>94</v>
      </c>
      <c r="O62" s="17" t="s">
        <v>138</v>
      </c>
      <c r="P62" s="17" t="s">
        <v>332</v>
      </c>
      <c r="Q62" s="17">
        <v>14.56</v>
      </c>
      <c r="R62" s="17">
        <v>2</v>
      </c>
      <c r="S62" s="17">
        <v>6.9888000000000003</v>
      </c>
      <c r="T62" s="17" t="s">
        <v>323</v>
      </c>
    </row>
    <row r="63" spans="1:20" x14ac:dyDescent="0.2">
      <c r="A63" s="17">
        <v>60</v>
      </c>
      <c r="B63" s="17" t="s">
        <v>321</v>
      </c>
      <c r="C63" s="18">
        <v>41443</v>
      </c>
      <c r="D63" s="18">
        <v>41444</v>
      </c>
      <c r="E63" s="17" t="s">
        <v>236</v>
      </c>
      <c r="F63" s="17" t="s">
        <v>322</v>
      </c>
      <c r="G63" s="17" t="s">
        <v>74</v>
      </c>
      <c r="H63" s="17" t="s">
        <v>75</v>
      </c>
      <c r="I63" s="17" t="s">
        <v>324</v>
      </c>
      <c r="J63" s="17" t="s">
        <v>315</v>
      </c>
      <c r="K63" s="17">
        <v>12180</v>
      </c>
      <c r="L63" s="17" t="s">
        <v>196</v>
      </c>
      <c r="M63" s="17" t="s">
        <v>294</v>
      </c>
      <c r="N63" s="17" t="s">
        <v>119</v>
      </c>
      <c r="O63" s="17" t="s">
        <v>209</v>
      </c>
      <c r="P63" s="17" t="s">
        <v>295</v>
      </c>
      <c r="Q63" s="17">
        <v>30</v>
      </c>
      <c r="R63" s="17">
        <v>2</v>
      </c>
      <c r="S63" s="17">
        <v>3.3000000000000007</v>
      </c>
      <c r="T63" s="17" t="s">
        <v>323</v>
      </c>
    </row>
    <row r="64" spans="1:20" x14ac:dyDescent="0.2">
      <c r="A64" s="17">
        <v>61</v>
      </c>
      <c r="B64" s="17" t="s">
        <v>321</v>
      </c>
      <c r="C64" s="18">
        <v>41443</v>
      </c>
      <c r="D64" s="18">
        <v>41444</v>
      </c>
      <c r="E64" s="17" t="s">
        <v>236</v>
      </c>
      <c r="F64" s="17" t="s">
        <v>322</v>
      </c>
      <c r="G64" s="17" t="s">
        <v>74</v>
      </c>
      <c r="H64" s="17" t="s">
        <v>75</v>
      </c>
      <c r="I64" s="17" t="s">
        <v>324</v>
      </c>
      <c r="J64" s="17" t="s">
        <v>315</v>
      </c>
      <c r="K64" s="17">
        <v>12180</v>
      </c>
      <c r="L64" s="17" t="s">
        <v>196</v>
      </c>
      <c r="M64" s="17" t="s">
        <v>333</v>
      </c>
      <c r="N64" s="17" t="s">
        <v>94</v>
      </c>
      <c r="O64" s="17" t="s">
        <v>123</v>
      </c>
      <c r="P64" s="17" t="s">
        <v>334</v>
      </c>
      <c r="Q64" s="17">
        <v>48.480000000000004</v>
      </c>
      <c r="R64" s="17">
        <v>4</v>
      </c>
      <c r="S64" s="17">
        <v>16.361999999999998</v>
      </c>
      <c r="T64" s="17" t="s">
        <v>323</v>
      </c>
    </row>
    <row r="65" spans="1:20" x14ac:dyDescent="0.2">
      <c r="A65" s="17">
        <v>62</v>
      </c>
      <c r="B65" s="17" t="s">
        <v>321</v>
      </c>
      <c r="C65" s="18">
        <v>41443</v>
      </c>
      <c r="D65" s="18">
        <v>41444</v>
      </c>
      <c r="E65" s="17" t="s">
        <v>236</v>
      </c>
      <c r="F65" s="17" t="s">
        <v>322</v>
      </c>
      <c r="G65" s="17" t="s">
        <v>74</v>
      </c>
      <c r="H65" s="17" t="s">
        <v>75</v>
      </c>
      <c r="I65" s="17" t="s">
        <v>324</v>
      </c>
      <c r="J65" s="17" t="s">
        <v>315</v>
      </c>
      <c r="K65" s="17">
        <v>12180</v>
      </c>
      <c r="L65" s="17" t="s">
        <v>196</v>
      </c>
      <c r="M65" s="17" t="s">
        <v>335</v>
      </c>
      <c r="N65" s="17" t="s">
        <v>94</v>
      </c>
      <c r="O65" s="17" t="s">
        <v>116</v>
      </c>
      <c r="P65" s="17" t="s">
        <v>336</v>
      </c>
      <c r="Q65" s="17">
        <v>1.68</v>
      </c>
      <c r="R65" s="17">
        <v>1</v>
      </c>
      <c r="S65" s="17">
        <v>0.84</v>
      </c>
      <c r="T65" s="17" t="s">
        <v>323</v>
      </c>
    </row>
    <row r="66" spans="1:20" x14ac:dyDescent="0.2">
      <c r="A66" s="17">
        <v>63</v>
      </c>
      <c r="B66" s="17" t="s">
        <v>337</v>
      </c>
      <c r="C66" s="18">
        <v>41237</v>
      </c>
      <c r="D66" s="18">
        <v>41243</v>
      </c>
      <c r="E66" s="17" t="s">
        <v>98</v>
      </c>
      <c r="F66" s="17" t="s">
        <v>338</v>
      </c>
      <c r="G66" s="17" t="s">
        <v>74</v>
      </c>
      <c r="H66" s="17" t="s">
        <v>75</v>
      </c>
      <c r="I66" s="17" t="s">
        <v>90</v>
      </c>
      <c r="J66" s="17" t="s">
        <v>91</v>
      </c>
      <c r="K66" s="17">
        <v>90004</v>
      </c>
      <c r="L66" s="17" t="s">
        <v>92</v>
      </c>
      <c r="M66" s="17" t="s">
        <v>340</v>
      </c>
      <c r="N66" s="17" t="s">
        <v>119</v>
      </c>
      <c r="O66" s="17" t="s">
        <v>209</v>
      </c>
      <c r="P66" s="17" t="s">
        <v>341</v>
      </c>
      <c r="Q66" s="17">
        <v>13.98</v>
      </c>
      <c r="R66" s="17">
        <v>2</v>
      </c>
      <c r="S66" s="17">
        <v>6.1512000000000011</v>
      </c>
      <c r="T66" s="17" t="s">
        <v>339</v>
      </c>
    </row>
    <row r="67" spans="1:20" x14ac:dyDescent="0.2">
      <c r="A67" s="17">
        <v>64</v>
      </c>
      <c r="B67" s="17" t="s">
        <v>337</v>
      </c>
      <c r="C67" s="18">
        <v>41237</v>
      </c>
      <c r="D67" s="18">
        <v>41243</v>
      </c>
      <c r="E67" s="17" t="s">
        <v>98</v>
      </c>
      <c r="F67" s="17" t="s">
        <v>338</v>
      </c>
      <c r="G67" s="17" t="s">
        <v>74</v>
      </c>
      <c r="H67" s="17" t="s">
        <v>75</v>
      </c>
      <c r="I67" s="17" t="s">
        <v>90</v>
      </c>
      <c r="J67" s="17" t="s">
        <v>91</v>
      </c>
      <c r="K67" s="17">
        <v>90004</v>
      </c>
      <c r="L67" s="17" t="s">
        <v>92</v>
      </c>
      <c r="M67" s="17" t="s">
        <v>342</v>
      </c>
      <c r="N67" s="17" t="s">
        <v>94</v>
      </c>
      <c r="O67" s="17" t="s">
        <v>123</v>
      </c>
      <c r="P67" s="17" t="s">
        <v>343</v>
      </c>
      <c r="Q67" s="17">
        <v>25.824000000000002</v>
      </c>
      <c r="R67" s="17">
        <v>6</v>
      </c>
      <c r="S67" s="17">
        <v>9.3612000000000002</v>
      </c>
      <c r="T67" s="17" t="s">
        <v>339</v>
      </c>
    </row>
    <row r="68" spans="1:20" x14ac:dyDescent="0.2">
      <c r="A68" s="17">
        <v>65</v>
      </c>
      <c r="B68" s="17" t="s">
        <v>337</v>
      </c>
      <c r="C68" s="18">
        <v>41237</v>
      </c>
      <c r="D68" s="18">
        <v>41243</v>
      </c>
      <c r="E68" s="17" t="s">
        <v>98</v>
      </c>
      <c r="F68" s="17" t="s">
        <v>338</v>
      </c>
      <c r="G68" s="17" t="s">
        <v>74</v>
      </c>
      <c r="H68" s="17" t="s">
        <v>75</v>
      </c>
      <c r="I68" s="17" t="s">
        <v>90</v>
      </c>
      <c r="J68" s="17" t="s">
        <v>91</v>
      </c>
      <c r="K68" s="17">
        <v>90004</v>
      </c>
      <c r="L68" s="17" t="s">
        <v>92</v>
      </c>
      <c r="M68" s="17" t="s">
        <v>344</v>
      </c>
      <c r="N68" s="17" t="s">
        <v>94</v>
      </c>
      <c r="O68" s="17" t="s">
        <v>138</v>
      </c>
      <c r="P68" s="17" t="s">
        <v>345</v>
      </c>
      <c r="Q68" s="17">
        <v>146.72999999999999</v>
      </c>
      <c r="R68" s="17">
        <v>3</v>
      </c>
      <c r="S68" s="17">
        <v>68.963099999999997</v>
      </c>
      <c r="T68" s="17" t="s">
        <v>339</v>
      </c>
    </row>
    <row r="69" spans="1:20" x14ac:dyDescent="0.2">
      <c r="A69" s="17">
        <v>66</v>
      </c>
      <c r="B69" s="17" t="s">
        <v>337</v>
      </c>
      <c r="C69" s="18">
        <v>41237</v>
      </c>
      <c r="D69" s="18">
        <v>41243</v>
      </c>
      <c r="E69" s="17" t="s">
        <v>98</v>
      </c>
      <c r="F69" s="17" t="s">
        <v>338</v>
      </c>
      <c r="G69" s="17" t="s">
        <v>74</v>
      </c>
      <c r="H69" s="17" t="s">
        <v>75</v>
      </c>
      <c r="I69" s="17" t="s">
        <v>90</v>
      </c>
      <c r="J69" s="17" t="s">
        <v>91</v>
      </c>
      <c r="K69" s="17">
        <v>90004</v>
      </c>
      <c r="L69" s="17" t="s">
        <v>92</v>
      </c>
      <c r="M69" s="17" t="s">
        <v>346</v>
      </c>
      <c r="N69" s="17" t="s">
        <v>80</v>
      </c>
      <c r="O69" s="17" t="s">
        <v>113</v>
      </c>
      <c r="P69" s="17" t="s">
        <v>347</v>
      </c>
      <c r="Q69" s="17">
        <v>79.760000000000005</v>
      </c>
      <c r="R69" s="17">
        <v>4</v>
      </c>
      <c r="S69" s="17">
        <v>22.332800000000006</v>
      </c>
      <c r="T69" s="17" t="s">
        <v>339</v>
      </c>
    </row>
    <row r="70" spans="1:20" x14ac:dyDescent="0.2">
      <c r="A70" s="17">
        <v>67</v>
      </c>
      <c r="B70" s="17" t="s">
        <v>348</v>
      </c>
      <c r="C70" s="18">
        <v>41029</v>
      </c>
      <c r="D70" s="18">
        <v>41034</v>
      </c>
      <c r="E70" s="17" t="s">
        <v>98</v>
      </c>
      <c r="F70" s="17" t="s">
        <v>349</v>
      </c>
      <c r="G70" s="17" t="s">
        <v>150</v>
      </c>
      <c r="H70" s="17" t="s">
        <v>75</v>
      </c>
      <c r="I70" s="17" t="s">
        <v>351</v>
      </c>
      <c r="J70" s="17" t="s">
        <v>259</v>
      </c>
      <c r="K70" s="17">
        <v>60610</v>
      </c>
      <c r="L70" s="17" t="s">
        <v>153</v>
      </c>
      <c r="M70" s="17" t="s">
        <v>352</v>
      </c>
      <c r="N70" s="17" t="s">
        <v>80</v>
      </c>
      <c r="O70" s="17" t="s">
        <v>84</v>
      </c>
      <c r="P70" s="17" t="s">
        <v>353</v>
      </c>
      <c r="Q70" s="17">
        <v>213.11499999999998</v>
      </c>
      <c r="R70" s="17">
        <v>5</v>
      </c>
      <c r="S70" s="17">
        <v>-15.222500000000011</v>
      </c>
      <c r="T70" s="17" t="s">
        <v>350</v>
      </c>
    </row>
    <row r="71" spans="1:20" x14ac:dyDescent="0.2">
      <c r="A71" s="17">
        <v>68</v>
      </c>
      <c r="B71" s="17" t="s">
        <v>354</v>
      </c>
      <c r="C71" s="18">
        <v>40882</v>
      </c>
      <c r="D71" s="18">
        <v>40887</v>
      </c>
      <c r="E71" s="17" t="s">
        <v>98</v>
      </c>
      <c r="F71" s="17" t="s">
        <v>355</v>
      </c>
      <c r="G71" s="17" t="s">
        <v>89</v>
      </c>
      <c r="H71" s="17" t="s">
        <v>75</v>
      </c>
      <c r="I71" s="17" t="s">
        <v>357</v>
      </c>
      <c r="J71" s="17" t="s">
        <v>358</v>
      </c>
      <c r="K71" s="17">
        <v>85234</v>
      </c>
      <c r="L71" s="17" t="s">
        <v>92</v>
      </c>
      <c r="M71" s="17" t="s">
        <v>359</v>
      </c>
      <c r="N71" s="17" t="s">
        <v>94</v>
      </c>
      <c r="O71" s="17" t="s">
        <v>116</v>
      </c>
      <c r="P71" s="17" t="s">
        <v>360</v>
      </c>
      <c r="Q71" s="17">
        <v>1113.0240000000001</v>
      </c>
      <c r="R71" s="17">
        <v>8</v>
      </c>
      <c r="S71" s="17">
        <v>111.30239999999998</v>
      </c>
      <c r="T71" s="17" t="s">
        <v>356</v>
      </c>
    </row>
    <row r="72" spans="1:20" x14ac:dyDescent="0.2">
      <c r="A72" s="17">
        <v>69</v>
      </c>
      <c r="B72" s="17" t="s">
        <v>354</v>
      </c>
      <c r="C72" s="18">
        <v>40882</v>
      </c>
      <c r="D72" s="18">
        <v>40887</v>
      </c>
      <c r="E72" s="17" t="s">
        <v>98</v>
      </c>
      <c r="F72" s="17" t="s">
        <v>355</v>
      </c>
      <c r="G72" s="17" t="s">
        <v>89</v>
      </c>
      <c r="H72" s="17" t="s">
        <v>75</v>
      </c>
      <c r="I72" s="17" t="s">
        <v>357</v>
      </c>
      <c r="J72" s="17" t="s">
        <v>358</v>
      </c>
      <c r="K72" s="17">
        <v>85234</v>
      </c>
      <c r="L72" s="17" t="s">
        <v>92</v>
      </c>
      <c r="M72" s="17" t="s">
        <v>361</v>
      </c>
      <c r="N72" s="17" t="s">
        <v>119</v>
      </c>
      <c r="O72" s="17" t="s">
        <v>120</v>
      </c>
      <c r="P72" s="17" t="s">
        <v>362</v>
      </c>
      <c r="Q72" s="17">
        <v>167.96800000000002</v>
      </c>
      <c r="R72" s="17">
        <v>4</v>
      </c>
      <c r="S72" s="17">
        <v>62.988</v>
      </c>
      <c r="T72" s="17" t="s">
        <v>356</v>
      </c>
    </row>
    <row r="73" spans="1:20" x14ac:dyDescent="0.2">
      <c r="A73" s="17">
        <v>70</v>
      </c>
      <c r="B73" s="17" t="s">
        <v>363</v>
      </c>
      <c r="C73" s="18">
        <v>41430</v>
      </c>
      <c r="D73" s="18">
        <v>41432</v>
      </c>
      <c r="E73" s="17" t="s">
        <v>236</v>
      </c>
      <c r="F73" s="17" t="s">
        <v>364</v>
      </c>
      <c r="G73" s="17" t="s">
        <v>74</v>
      </c>
      <c r="H73" s="17" t="s">
        <v>75</v>
      </c>
      <c r="I73" s="17" t="s">
        <v>366</v>
      </c>
      <c r="J73" s="17" t="s">
        <v>367</v>
      </c>
      <c r="K73" s="17">
        <v>22153</v>
      </c>
      <c r="L73" s="17" t="s">
        <v>78</v>
      </c>
      <c r="M73" s="17" t="s">
        <v>368</v>
      </c>
      <c r="N73" s="17" t="s">
        <v>94</v>
      </c>
      <c r="O73" s="17" t="s">
        <v>138</v>
      </c>
      <c r="P73" s="17" t="s">
        <v>369</v>
      </c>
      <c r="Q73" s="17">
        <v>75.88</v>
      </c>
      <c r="R73" s="17">
        <v>2</v>
      </c>
      <c r="S73" s="17">
        <v>35.663599999999995</v>
      </c>
      <c r="T73" s="17" t="s">
        <v>365</v>
      </c>
    </row>
    <row r="74" spans="1:20" x14ac:dyDescent="0.2">
      <c r="A74" s="17">
        <v>71</v>
      </c>
      <c r="B74" s="17" t="s">
        <v>370</v>
      </c>
      <c r="C74" s="18">
        <v>41536</v>
      </c>
      <c r="D74" s="18">
        <v>41541</v>
      </c>
      <c r="E74" s="17" t="s">
        <v>98</v>
      </c>
      <c r="F74" s="17" t="s">
        <v>371</v>
      </c>
      <c r="G74" s="17" t="s">
        <v>74</v>
      </c>
      <c r="H74" s="17" t="s">
        <v>75</v>
      </c>
      <c r="I74" s="17" t="s">
        <v>314</v>
      </c>
      <c r="J74" s="17" t="s">
        <v>315</v>
      </c>
      <c r="K74" s="17">
        <v>10009</v>
      </c>
      <c r="L74" s="17" t="s">
        <v>196</v>
      </c>
      <c r="M74" s="17" t="s">
        <v>373</v>
      </c>
      <c r="N74" s="17" t="s">
        <v>94</v>
      </c>
      <c r="O74" s="17" t="s">
        <v>123</v>
      </c>
      <c r="P74" s="17" t="s">
        <v>374</v>
      </c>
      <c r="Q74" s="17">
        <v>4.6159999999999997</v>
      </c>
      <c r="R74" s="17">
        <v>1</v>
      </c>
      <c r="S74" s="17">
        <v>1.7309999999999999</v>
      </c>
      <c r="T74" s="17" t="s">
        <v>372</v>
      </c>
    </row>
    <row r="75" spans="1:20" x14ac:dyDescent="0.2">
      <c r="A75" s="17">
        <v>72</v>
      </c>
      <c r="B75" s="17" t="s">
        <v>375</v>
      </c>
      <c r="C75" s="18">
        <v>41897</v>
      </c>
      <c r="D75" s="18">
        <v>41900</v>
      </c>
      <c r="E75" s="17" t="s">
        <v>71</v>
      </c>
      <c r="F75" s="17" t="s">
        <v>212</v>
      </c>
      <c r="G75" s="17" t="s">
        <v>74</v>
      </c>
      <c r="H75" s="17" t="s">
        <v>75</v>
      </c>
      <c r="I75" s="17" t="s">
        <v>376</v>
      </c>
      <c r="J75" s="17" t="s">
        <v>286</v>
      </c>
      <c r="K75" s="17">
        <v>49201</v>
      </c>
      <c r="L75" s="17" t="s">
        <v>153</v>
      </c>
      <c r="M75" s="17" t="s">
        <v>377</v>
      </c>
      <c r="N75" s="17" t="s">
        <v>94</v>
      </c>
      <c r="O75" s="17" t="s">
        <v>138</v>
      </c>
      <c r="P75" s="17" t="s">
        <v>378</v>
      </c>
      <c r="Q75" s="17">
        <v>19.049999999999997</v>
      </c>
      <c r="R75" s="17">
        <v>3</v>
      </c>
      <c r="S75" s="17">
        <v>8.7629999999999999</v>
      </c>
      <c r="T75" s="17" t="s">
        <v>213</v>
      </c>
    </row>
    <row r="76" spans="1:20" x14ac:dyDescent="0.2">
      <c r="A76" s="17">
        <v>73</v>
      </c>
      <c r="B76" s="17" t="s">
        <v>379</v>
      </c>
      <c r="C76" s="18">
        <v>41025</v>
      </c>
      <c r="D76" s="18">
        <v>41031</v>
      </c>
      <c r="E76" s="17" t="s">
        <v>98</v>
      </c>
      <c r="F76" s="17" t="s">
        <v>380</v>
      </c>
      <c r="G76" s="17" t="s">
        <v>74</v>
      </c>
      <c r="H76" s="17" t="s">
        <v>75</v>
      </c>
      <c r="I76" s="17" t="s">
        <v>382</v>
      </c>
      <c r="J76" s="17" t="s">
        <v>383</v>
      </c>
      <c r="K76" s="17">
        <v>38109</v>
      </c>
      <c r="L76" s="17" t="s">
        <v>78</v>
      </c>
      <c r="M76" s="17" t="s">
        <v>384</v>
      </c>
      <c r="N76" s="17" t="s">
        <v>80</v>
      </c>
      <c r="O76" s="17" t="s">
        <v>84</v>
      </c>
      <c r="P76" s="17" t="s">
        <v>385</v>
      </c>
      <c r="Q76" s="17">
        <v>831.93600000000015</v>
      </c>
      <c r="R76" s="17">
        <v>8</v>
      </c>
      <c r="S76" s="17">
        <v>-114.39120000000003</v>
      </c>
      <c r="T76" s="17" t="s">
        <v>381</v>
      </c>
    </row>
    <row r="77" spans="1:20" x14ac:dyDescent="0.2">
      <c r="A77" s="17">
        <v>74</v>
      </c>
      <c r="B77" s="17" t="s">
        <v>379</v>
      </c>
      <c r="C77" s="18">
        <v>41025</v>
      </c>
      <c r="D77" s="18">
        <v>41031</v>
      </c>
      <c r="E77" s="17" t="s">
        <v>98</v>
      </c>
      <c r="F77" s="17" t="s">
        <v>380</v>
      </c>
      <c r="G77" s="17" t="s">
        <v>74</v>
      </c>
      <c r="H77" s="17" t="s">
        <v>75</v>
      </c>
      <c r="I77" s="17" t="s">
        <v>382</v>
      </c>
      <c r="J77" s="17" t="s">
        <v>383</v>
      </c>
      <c r="K77" s="17">
        <v>38109</v>
      </c>
      <c r="L77" s="17" t="s">
        <v>78</v>
      </c>
      <c r="M77" s="17" t="s">
        <v>386</v>
      </c>
      <c r="N77" s="17" t="s">
        <v>80</v>
      </c>
      <c r="O77" s="17" t="s">
        <v>113</v>
      </c>
      <c r="P77" s="17" t="s">
        <v>387</v>
      </c>
      <c r="Q77" s="17">
        <v>97.04</v>
      </c>
      <c r="R77" s="17">
        <v>2</v>
      </c>
      <c r="S77" s="17">
        <v>1.2129999999999974</v>
      </c>
      <c r="T77" s="17" t="s">
        <v>381</v>
      </c>
    </row>
    <row r="78" spans="1:20" x14ac:dyDescent="0.2">
      <c r="A78" s="17">
        <v>75</v>
      </c>
      <c r="B78" s="17" t="s">
        <v>379</v>
      </c>
      <c r="C78" s="18">
        <v>41025</v>
      </c>
      <c r="D78" s="18">
        <v>41031</v>
      </c>
      <c r="E78" s="17" t="s">
        <v>98</v>
      </c>
      <c r="F78" s="17" t="s">
        <v>380</v>
      </c>
      <c r="G78" s="17" t="s">
        <v>74</v>
      </c>
      <c r="H78" s="17" t="s">
        <v>75</v>
      </c>
      <c r="I78" s="17" t="s">
        <v>382</v>
      </c>
      <c r="J78" s="17" t="s">
        <v>383</v>
      </c>
      <c r="K78" s="17">
        <v>38109</v>
      </c>
      <c r="L78" s="17" t="s">
        <v>78</v>
      </c>
      <c r="M78" s="17" t="s">
        <v>388</v>
      </c>
      <c r="N78" s="17" t="s">
        <v>94</v>
      </c>
      <c r="O78" s="17" t="s">
        <v>107</v>
      </c>
      <c r="P78" s="17" t="s">
        <v>389</v>
      </c>
      <c r="Q78" s="17">
        <v>72.784000000000006</v>
      </c>
      <c r="R78" s="17">
        <v>1</v>
      </c>
      <c r="S78" s="17">
        <v>-18.196000000000002</v>
      </c>
      <c r="T78" s="17" t="s">
        <v>381</v>
      </c>
    </row>
  </sheetData>
  <sortState xmlns:xlrd2="http://schemas.microsoft.com/office/spreadsheetml/2017/richdata2" ref="AF32:AG43">
    <sortCondition descending="1" ref="AG32"/>
  </sortState>
  <mergeCells count="1">
    <mergeCell ref="A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A3A8-920E-40B2-8474-75D730B1728C}">
  <dimension ref="A1:E63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44.1640625" style="3" bestFit="1" customWidth="1"/>
    <col min="3" max="3" width="33.1640625" bestFit="1" customWidth="1"/>
    <col min="5" max="5" width="12" bestFit="1" customWidth="1"/>
  </cols>
  <sheetData>
    <row r="1" spans="1:5" x14ac:dyDescent="0.2">
      <c r="A1" s="27" t="s">
        <v>43</v>
      </c>
      <c r="B1" s="2"/>
      <c r="C1" s="2" t="s">
        <v>0</v>
      </c>
      <c r="D1" s="1"/>
    </row>
    <row r="2" spans="1:5" x14ac:dyDescent="0.2">
      <c r="A2" s="27"/>
      <c r="C2" s="4">
        <f>AVERAGE(A4:A43)</f>
        <v>50.5</v>
      </c>
    </row>
    <row r="3" spans="1:5" x14ac:dyDescent="0.2">
      <c r="A3" s="27"/>
    </row>
    <row r="4" spans="1:5" x14ac:dyDescent="0.2">
      <c r="A4" s="3">
        <v>43</v>
      </c>
      <c r="C4" s="5" t="s">
        <v>1</v>
      </c>
      <c r="D4" s="3" t="s">
        <v>3</v>
      </c>
      <c r="E4" s="1">
        <f>_xlfn.Z.TEST(A4:A63,61)</f>
        <v>0.99095281058368012</v>
      </c>
    </row>
    <row r="5" spans="1:5" x14ac:dyDescent="0.2">
      <c r="A5" s="3">
        <v>5</v>
      </c>
    </row>
    <row r="6" spans="1:5" x14ac:dyDescent="0.2">
      <c r="A6" s="3">
        <v>66</v>
      </c>
      <c r="C6" s="5" t="s">
        <v>2</v>
      </c>
      <c r="D6" s="3" t="s">
        <v>3</v>
      </c>
      <c r="E6" s="1">
        <f xml:space="preserve"> 2 *E4</f>
        <v>1.9819056211673602</v>
      </c>
    </row>
    <row r="7" spans="1:5" x14ac:dyDescent="0.2">
      <c r="A7" s="3">
        <v>83</v>
      </c>
    </row>
    <row r="8" spans="1:5" x14ac:dyDescent="0.2">
      <c r="A8" s="3">
        <v>38</v>
      </c>
    </row>
    <row r="9" spans="1:5" x14ac:dyDescent="0.2">
      <c r="A9" s="3">
        <v>29</v>
      </c>
    </row>
    <row r="10" spans="1:5" x14ac:dyDescent="0.2">
      <c r="A10" s="3">
        <v>5</v>
      </c>
    </row>
    <row r="11" spans="1:5" x14ac:dyDescent="0.2">
      <c r="A11" s="3">
        <v>12</v>
      </c>
    </row>
    <row r="12" spans="1:5" x14ac:dyDescent="0.2">
      <c r="A12" s="3">
        <v>83</v>
      </c>
    </row>
    <row r="13" spans="1:5" x14ac:dyDescent="0.2">
      <c r="A13" s="3">
        <v>50</v>
      </c>
    </row>
    <row r="14" spans="1:5" x14ac:dyDescent="0.2">
      <c r="A14" s="3">
        <v>44</v>
      </c>
    </row>
    <row r="15" spans="1:5" x14ac:dyDescent="0.2">
      <c r="A15" s="3">
        <v>45</v>
      </c>
    </row>
    <row r="16" spans="1:5" x14ac:dyDescent="0.2">
      <c r="A16" s="3">
        <v>51</v>
      </c>
    </row>
    <row r="17" spans="1:1" x14ac:dyDescent="0.2">
      <c r="A17" s="3">
        <v>69</v>
      </c>
    </row>
    <row r="18" spans="1:1" x14ac:dyDescent="0.2">
      <c r="A18" s="3">
        <v>54</v>
      </c>
    </row>
    <row r="19" spans="1:1" x14ac:dyDescent="0.2">
      <c r="A19" s="3">
        <v>73</v>
      </c>
    </row>
    <row r="20" spans="1:1" x14ac:dyDescent="0.2">
      <c r="A20" s="3">
        <v>88</v>
      </c>
    </row>
    <row r="21" spans="1:1" x14ac:dyDescent="0.2">
      <c r="A21" s="3">
        <v>68</v>
      </c>
    </row>
    <row r="22" spans="1:1" x14ac:dyDescent="0.2">
      <c r="A22" s="3">
        <v>39</v>
      </c>
    </row>
    <row r="23" spans="1:1" x14ac:dyDescent="0.2">
      <c r="A23" s="3">
        <v>38</v>
      </c>
    </row>
    <row r="24" spans="1:1" x14ac:dyDescent="0.2">
      <c r="A24" s="3">
        <v>98</v>
      </c>
    </row>
    <row r="25" spans="1:1" x14ac:dyDescent="0.2">
      <c r="A25" s="3">
        <v>24</v>
      </c>
    </row>
    <row r="26" spans="1:1" x14ac:dyDescent="0.2">
      <c r="A26" s="3">
        <v>72</v>
      </c>
    </row>
    <row r="27" spans="1:1" x14ac:dyDescent="0.2">
      <c r="A27" s="3">
        <v>31</v>
      </c>
    </row>
    <row r="28" spans="1:1" x14ac:dyDescent="0.2">
      <c r="A28" s="3">
        <v>18</v>
      </c>
    </row>
    <row r="29" spans="1:1" x14ac:dyDescent="0.2">
      <c r="A29" s="3">
        <v>96</v>
      </c>
    </row>
    <row r="30" spans="1:1" x14ac:dyDescent="0.2">
      <c r="A30" s="3">
        <v>26</v>
      </c>
    </row>
    <row r="31" spans="1:1" x14ac:dyDescent="0.2">
      <c r="A31" s="3">
        <v>84</v>
      </c>
    </row>
    <row r="32" spans="1:1" x14ac:dyDescent="0.2">
      <c r="A32" s="3">
        <v>63</v>
      </c>
    </row>
    <row r="33" spans="1:1" x14ac:dyDescent="0.2">
      <c r="A33" s="3">
        <v>28</v>
      </c>
    </row>
    <row r="34" spans="1:1" x14ac:dyDescent="0.2">
      <c r="A34" s="3">
        <v>11</v>
      </c>
    </row>
    <row r="35" spans="1:1" x14ac:dyDescent="0.2">
      <c r="A35" s="3">
        <v>53</v>
      </c>
    </row>
    <row r="36" spans="1:1" x14ac:dyDescent="0.2">
      <c r="A36" s="3">
        <v>77</v>
      </c>
    </row>
    <row r="37" spans="1:1" x14ac:dyDescent="0.2">
      <c r="A37" s="3">
        <v>7</v>
      </c>
    </row>
    <row r="38" spans="1:1" x14ac:dyDescent="0.2">
      <c r="A38" s="3">
        <v>46</v>
      </c>
    </row>
    <row r="39" spans="1:1" x14ac:dyDescent="0.2">
      <c r="A39" s="3">
        <v>85</v>
      </c>
    </row>
    <row r="40" spans="1:1" x14ac:dyDescent="0.2">
      <c r="A40" s="3">
        <v>89</v>
      </c>
    </row>
    <row r="41" spans="1:1" x14ac:dyDescent="0.2">
      <c r="A41" s="3">
        <v>45</v>
      </c>
    </row>
    <row r="42" spans="1:1" x14ac:dyDescent="0.2">
      <c r="A42" s="3">
        <v>41</v>
      </c>
    </row>
    <row r="43" spans="1:1" x14ac:dyDescent="0.2">
      <c r="A43" s="3">
        <v>43</v>
      </c>
    </row>
    <row r="44" spans="1:1" x14ac:dyDescent="0.2">
      <c r="A44" s="3">
        <v>57</v>
      </c>
    </row>
    <row r="45" spans="1:1" x14ac:dyDescent="0.2">
      <c r="A45" s="3">
        <v>38</v>
      </c>
    </row>
    <row r="46" spans="1:1" x14ac:dyDescent="0.2">
      <c r="A46" s="3">
        <v>56</v>
      </c>
    </row>
    <row r="47" spans="1:1" x14ac:dyDescent="0.2">
      <c r="A47" s="3">
        <v>75</v>
      </c>
    </row>
    <row r="48" spans="1:1" x14ac:dyDescent="0.2">
      <c r="A48" s="3">
        <v>20</v>
      </c>
    </row>
    <row r="49" spans="1:1" x14ac:dyDescent="0.2">
      <c r="A49" s="3">
        <v>66</v>
      </c>
    </row>
    <row r="50" spans="1:1" x14ac:dyDescent="0.2">
      <c r="A50" s="3">
        <v>29</v>
      </c>
    </row>
    <row r="51" spans="1:1" x14ac:dyDescent="0.2">
      <c r="A51" s="3">
        <v>94</v>
      </c>
    </row>
    <row r="52" spans="1:1" x14ac:dyDescent="0.2">
      <c r="A52" s="3">
        <v>71</v>
      </c>
    </row>
    <row r="53" spans="1:1" x14ac:dyDescent="0.2">
      <c r="A53" s="3">
        <v>63</v>
      </c>
    </row>
    <row r="54" spans="1:1" x14ac:dyDescent="0.2">
      <c r="A54" s="3">
        <v>72</v>
      </c>
    </row>
    <row r="55" spans="1:1" x14ac:dyDescent="0.2">
      <c r="A55" s="3">
        <v>66</v>
      </c>
    </row>
    <row r="56" spans="1:1" x14ac:dyDescent="0.2">
      <c r="A56" s="3">
        <v>49</v>
      </c>
    </row>
    <row r="57" spans="1:1" x14ac:dyDescent="0.2">
      <c r="A57" s="3">
        <v>10</v>
      </c>
    </row>
    <row r="58" spans="1:1" x14ac:dyDescent="0.2">
      <c r="A58" s="3">
        <v>37</v>
      </c>
    </row>
    <row r="59" spans="1:1" x14ac:dyDescent="0.2">
      <c r="A59" s="3">
        <v>96</v>
      </c>
    </row>
    <row r="60" spans="1:1" x14ac:dyDescent="0.2">
      <c r="A60" s="3">
        <v>83</v>
      </c>
    </row>
    <row r="61" spans="1:1" x14ac:dyDescent="0.2">
      <c r="A61" s="3">
        <v>16</v>
      </c>
    </row>
    <row r="62" spans="1:1" x14ac:dyDescent="0.2">
      <c r="A62" s="3">
        <v>94</v>
      </c>
    </row>
    <row r="63" spans="1:1" x14ac:dyDescent="0.2">
      <c r="A63" s="3">
        <v>63</v>
      </c>
    </row>
  </sheetData>
  <mergeCells count="1">
    <mergeCell ref="A1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899F-C014-43F1-AE38-E1DC36FA77E7}">
  <dimension ref="A1:F62"/>
  <sheetViews>
    <sheetView workbookViewId="0">
      <selection activeCell="E18" sqref="E18"/>
    </sheetView>
  </sheetViews>
  <sheetFormatPr baseColWidth="10" defaultColWidth="8.83203125" defaultRowHeight="15" x14ac:dyDescent="0.2"/>
  <cols>
    <col min="1" max="2" width="34.83203125" style="3" bestFit="1" customWidth="1"/>
    <col min="3" max="3" width="8.83203125" customWidth="1"/>
    <col min="4" max="4" width="50.5" bestFit="1" customWidth="1"/>
  </cols>
  <sheetData>
    <row r="1" spans="1:6" x14ac:dyDescent="0.2">
      <c r="A1" s="28" t="s">
        <v>44</v>
      </c>
      <c r="B1" s="28" t="s">
        <v>45</v>
      </c>
      <c r="D1" s="11" t="s">
        <v>4</v>
      </c>
    </row>
    <row r="2" spans="1:6" ht="16" thickBot="1" x14ac:dyDescent="0.25">
      <c r="A2" s="28"/>
      <c r="B2" s="28"/>
    </row>
    <row r="3" spans="1:6" x14ac:dyDescent="0.2">
      <c r="A3" s="6">
        <v>27</v>
      </c>
      <c r="B3" s="6">
        <v>54</v>
      </c>
      <c r="D3" s="9"/>
      <c r="E3" s="9" t="s">
        <v>46</v>
      </c>
      <c r="F3" s="9" t="s">
        <v>47</v>
      </c>
    </row>
    <row r="4" spans="1:6" x14ac:dyDescent="0.2">
      <c r="A4" s="6">
        <v>64</v>
      </c>
      <c r="B4" s="6">
        <v>20</v>
      </c>
      <c r="D4" s="7" t="s">
        <v>7</v>
      </c>
      <c r="E4" s="7">
        <v>48.366666666666667</v>
      </c>
      <c r="F4" s="7">
        <v>47.116666666666667</v>
      </c>
    </row>
    <row r="5" spans="1:6" x14ac:dyDescent="0.2">
      <c r="A5" s="6">
        <v>48</v>
      </c>
      <c r="B5" s="6">
        <v>65</v>
      </c>
      <c r="D5" s="10" t="s">
        <v>8</v>
      </c>
      <c r="E5" s="10">
        <v>658.81242937853085</v>
      </c>
      <c r="F5" s="10">
        <v>665.73192090395457</v>
      </c>
    </row>
    <row r="6" spans="1:6" x14ac:dyDescent="0.2">
      <c r="A6" s="6">
        <v>62</v>
      </c>
      <c r="B6" s="6">
        <v>11</v>
      </c>
      <c r="D6" s="7" t="s">
        <v>9</v>
      </c>
      <c r="E6" s="7">
        <v>60</v>
      </c>
      <c r="F6" s="7">
        <v>60</v>
      </c>
    </row>
    <row r="7" spans="1:6" x14ac:dyDescent="0.2">
      <c r="A7" s="6">
        <v>41</v>
      </c>
      <c r="B7" s="6">
        <v>86</v>
      </c>
      <c r="D7" s="7" t="s">
        <v>10</v>
      </c>
      <c r="E7" s="7">
        <v>0</v>
      </c>
      <c r="F7" s="7"/>
    </row>
    <row r="8" spans="1:6" x14ac:dyDescent="0.2">
      <c r="A8" s="6">
        <v>59</v>
      </c>
      <c r="B8" s="6">
        <v>15</v>
      </c>
      <c r="D8" s="7" t="s">
        <v>11</v>
      </c>
      <c r="E8" s="7">
        <v>118</v>
      </c>
      <c r="F8" s="7"/>
    </row>
    <row r="9" spans="1:6" x14ac:dyDescent="0.2">
      <c r="A9" s="6">
        <v>62</v>
      </c>
      <c r="B9" s="6">
        <v>72</v>
      </c>
      <c r="D9" s="7" t="s">
        <v>12</v>
      </c>
      <c r="E9" s="7">
        <v>0.26604333659933904</v>
      </c>
      <c r="F9" s="7"/>
    </row>
    <row r="10" spans="1:6" x14ac:dyDescent="0.2">
      <c r="A10" s="6">
        <v>62</v>
      </c>
      <c r="B10" s="6">
        <v>53</v>
      </c>
      <c r="D10" s="10" t="s">
        <v>13</v>
      </c>
      <c r="E10" s="10">
        <v>0.39533506252525968</v>
      </c>
      <c r="F10" s="7"/>
    </row>
    <row r="11" spans="1:6" x14ac:dyDescent="0.2">
      <c r="A11" s="6">
        <v>13</v>
      </c>
      <c r="B11" s="6">
        <v>18</v>
      </c>
      <c r="D11" s="7" t="s">
        <v>14</v>
      </c>
      <c r="E11" s="7">
        <v>1.6578695221106927</v>
      </c>
      <c r="F11" s="7"/>
    </row>
    <row r="12" spans="1:6" x14ac:dyDescent="0.2">
      <c r="A12" s="6">
        <v>33</v>
      </c>
      <c r="B12" s="6">
        <v>11</v>
      </c>
      <c r="D12" s="10" t="s">
        <v>15</v>
      </c>
      <c r="E12" s="10">
        <v>0.79067012505051937</v>
      </c>
      <c r="F12" s="7"/>
    </row>
    <row r="13" spans="1:6" ht="16" thickBot="1" x14ac:dyDescent="0.25">
      <c r="A13" s="6">
        <v>86</v>
      </c>
      <c r="B13" s="6">
        <v>49</v>
      </c>
      <c r="D13" s="8" t="s">
        <v>16</v>
      </c>
      <c r="E13" s="8">
        <v>1.9802722492729716</v>
      </c>
      <c r="F13" s="8"/>
    </row>
    <row r="14" spans="1:6" x14ac:dyDescent="0.2">
      <c r="A14" s="6">
        <v>41</v>
      </c>
      <c r="B14" s="6">
        <v>86</v>
      </c>
    </row>
    <row r="15" spans="1:6" x14ac:dyDescent="0.2">
      <c r="A15" s="6">
        <v>91</v>
      </c>
      <c r="B15" s="6">
        <v>76</v>
      </c>
    </row>
    <row r="16" spans="1:6" x14ac:dyDescent="0.2">
      <c r="A16" s="6">
        <v>35</v>
      </c>
      <c r="B16" s="6">
        <v>32</v>
      </c>
    </row>
    <row r="17" spans="1:2" x14ac:dyDescent="0.2">
      <c r="A17" s="6">
        <v>56</v>
      </c>
      <c r="B17" s="6">
        <v>51</v>
      </c>
    </row>
    <row r="18" spans="1:2" x14ac:dyDescent="0.2">
      <c r="A18" s="6">
        <v>92</v>
      </c>
      <c r="B18" s="6">
        <v>89</v>
      </c>
    </row>
    <row r="19" spans="1:2" x14ac:dyDescent="0.2">
      <c r="A19" s="6">
        <v>41</v>
      </c>
      <c r="B19" s="6">
        <v>32</v>
      </c>
    </row>
    <row r="20" spans="1:2" x14ac:dyDescent="0.2">
      <c r="A20" s="6">
        <v>5</v>
      </c>
      <c r="B20" s="6">
        <v>11</v>
      </c>
    </row>
    <row r="21" spans="1:2" x14ac:dyDescent="0.2">
      <c r="A21" s="6">
        <v>12</v>
      </c>
      <c r="B21" s="6">
        <v>46</v>
      </c>
    </row>
    <row r="22" spans="1:2" x14ac:dyDescent="0.2">
      <c r="A22" s="6">
        <v>33</v>
      </c>
      <c r="B22" s="6">
        <v>97</v>
      </c>
    </row>
    <row r="23" spans="1:2" x14ac:dyDescent="0.2">
      <c r="A23" s="6">
        <v>16</v>
      </c>
      <c r="B23" s="6">
        <v>40</v>
      </c>
    </row>
    <row r="24" spans="1:2" x14ac:dyDescent="0.2">
      <c r="A24" s="6">
        <v>85</v>
      </c>
      <c r="B24" s="6">
        <v>70</v>
      </c>
    </row>
    <row r="25" spans="1:2" x14ac:dyDescent="0.2">
      <c r="A25" s="6">
        <v>28</v>
      </c>
      <c r="B25" s="6">
        <v>65</v>
      </c>
    </row>
    <row r="26" spans="1:2" x14ac:dyDescent="0.2">
      <c r="A26" s="6">
        <v>96</v>
      </c>
      <c r="B26" s="6">
        <v>23</v>
      </c>
    </row>
    <row r="27" spans="1:2" x14ac:dyDescent="0.2">
      <c r="A27" s="6">
        <v>94</v>
      </c>
      <c r="B27" s="6">
        <v>21</v>
      </c>
    </row>
    <row r="28" spans="1:2" x14ac:dyDescent="0.2">
      <c r="A28" s="6">
        <v>22</v>
      </c>
      <c r="B28" s="6">
        <v>54</v>
      </c>
    </row>
    <row r="29" spans="1:2" x14ac:dyDescent="0.2">
      <c r="A29" s="6">
        <v>58</v>
      </c>
      <c r="B29" s="6">
        <v>89</v>
      </c>
    </row>
    <row r="30" spans="1:2" x14ac:dyDescent="0.2">
      <c r="A30" s="6">
        <v>19</v>
      </c>
      <c r="B30" s="6">
        <v>47</v>
      </c>
    </row>
    <row r="31" spans="1:2" x14ac:dyDescent="0.2">
      <c r="A31" s="6">
        <v>92</v>
      </c>
      <c r="B31" s="6">
        <v>67</v>
      </c>
    </row>
    <row r="32" spans="1:2" x14ac:dyDescent="0.2">
      <c r="A32" s="6">
        <v>23</v>
      </c>
      <c r="B32" s="6">
        <v>24</v>
      </c>
    </row>
    <row r="33" spans="1:2" x14ac:dyDescent="0.2">
      <c r="A33" s="6">
        <v>25</v>
      </c>
      <c r="B33" s="6">
        <v>41</v>
      </c>
    </row>
    <row r="34" spans="1:2" x14ac:dyDescent="0.2">
      <c r="A34" s="6">
        <v>38</v>
      </c>
      <c r="B34" s="6">
        <v>34</v>
      </c>
    </row>
    <row r="35" spans="1:2" x14ac:dyDescent="0.2">
      <c r="A35" s="6">
        <v>44</v>
      </c>
      <c r="B35" s="6">
        <v>52</v>
      </c>
    </row>
    <row r="36" spans="1:2" x14ac:dyDescent="0.2">
      <c r="A36" s="6">
        <v>70</v>
      </c>
      <c r="B36" s="6">
        <v>34</v>
      </c>
    </row>
    <row r="37" spans="1:2" x14ac:dyDescent="0.2">
      <c r="A37" s="6">
        <v>48</v>
      </c>
      <c r="B37" s="6">
        <v>19</v>
      </c>
    </row>
    <row r="38" spans="1:2" x14ac:dyDescent="0.2">
      <c r="A38" s="6">
        <v>73</v>
      </c>
      <c r="B38" s="6">
        <v>55</v>
      </c>
    </row>
    <row r="39" spans="1:2" x14ac:dyDescent="0.2">
      <c r="A39" s="6">
        <v>56</v>
      </c>
      <c r="B39" s="6">
        <v>25</v>
      </c>
    </row>
    <row r="40" spans="1:2" x14ac:dyDescent="0.2">
      <c r="A40" s="3">
        <v>13</v>
      </c>
      <c r="B40" s="3">
        <v>39</v>
      </c>
    </row>
    <row r="41" spans="1:2" x14ac:dyDescent="0.2">
      <c r="A41" s="3">
        <v>57</v>
      </c>
      <c r="B41" s="3">
        <v>52</v>
      </c>
    </row>
    <row r="42" spans="1:2" x14ac:dyDescent="0.2">
      <c r="A42" s="3">
        <v>92</v>
      </c>
      <c r="B42" s="3">
        <v>60</v>
      </c>
    </row>
    <row r="43" spans="1:2" x14ac:dyDescent="0.2">
      <c r="A43" s="3">
        <v>46</v>
      </c>
      <c r="B43" s="3">
        <v>68</v>
      </c>
    </row>
    <row r="44" spans="1:2" x14ac:dyDescent="0.2">
      <c r="A44" s="3">
        <v>33</v>
      </c>
      <c r="B44" s="3">
        <v>48</v>
      </c>
    </row>
    <row r="45" spans="1:2" x14ac:dyDescent="0.2">
      <c r="A45" s="3">
        <v>46</v>
      </c>
      <c r="B45" s="3">
        <v>12</v>
      </c>
    </row>
    <row r="46" spans="1:2" x14ac:dyDescent="0.2">
      <c r="A46" s="3">
        <v>56</v>
      </c>
      <c r="B46" s="3">
        <v>10</v>
      </c>
    </row>
    <row r="47" spans="1:2" x14ac:dyDescent="0.2">
      <c r="A47" s="3">
        <v>64</v>
      </c>
      <c r="B47" s="3">
        <v>10</v>
      </c>
    </row>
    <row r="48" spans="1:2" x14ac:dyDescent="0.2">
      <c r="A48" s="3">
        <v>23</v>
      </c>
      <c r="B48" s="3">
        <v>80</v>
      </c>
    </row>
    <row r="49" spans="1:2" x14ac:dyDescent="0.2">
      <c r="A49" s="3">
        <v>52</v>
      </c>
      <c r="B49" s="3">
        <v>20</v>
      </c>
    </row>
    <row r="50" spans="1:2" x14ac:dyDescent="0.2">
      <c r="A50" s="3">
        <v>28</v>
      </c>
      <c r="B50" s="3">
        <v>23</v>
      </c>
    </row>
    <row r="51" spans="1:2" x14ac:dyDescent="0.2">
      <c r="A51" s="3">
        <v>27</v>
      </c>
      <c r="B51" s="3">
        <v>72</v>
      </c>
    </row>
    <row r="52" spans="1:2" x14ac:dyDescent="0.2">
      <c r="A52" s="3">
        <v>74</v>
      </c>
      <c r="B52" s="3">
        <v>98</v>
      </c>
    </row>
    <row r="53" spans="1:2" x14ac:dyDescent="0.2">
      <c r="A53" s="3">
        <v>69</v>
      </c>
      <c r="B53" s="3">
        <v>40</v>
      </c>
    </row>
    <row r="54" spans="1:2" x14ac:dyDescent="0.2">
      <c r="A54" s="3">
        <v>44</v>
      </c>
      <c r="B54" s="3">
        <v>36</v>
      </c>
    </row>
    <row r="55" spans="1:2" x14ac:dyDescent="0.2">
      <c r="A55" s="3">
        <v>89</v>
      </c>
      <c r="B55" s="3">
        <v>77</v>
      </c>
    </row>
    <row r="56" spans="1:2" x14ac:dyDescent="0.2">
      <c r="A56" s="3">
        <v>84</v>
      </c>
      <c r="B56" s="3">
        <v>26</v>
      </c>
    </row>
    <row r="57" spans="1:2" x14ac:dyDescent="0.2">
      <c r="A57" s="3">
        <v>47</v>
      </c>
      <c r="B57" s="3">
        <v>38</v>
      </c>
    </row>
    <row r="58" spans="1:2" x14ac:dyDescent="0.2">
      <c r="A58" s="3">
        <v>5</v>
      </c>
      <c r="B58" s="3">
        <v>98</v>
      </c>
    </row>
    <row r="59" spans="1:2" x14ac:dyDescent="0.2">
      <c r="A59" s="3">
        <v>12</v>
      </c>
      <c r="B59" s="3">
        <v>79</v>
      </c>
    </row>
    <row r="60" spans="1:2" x14ac:dyDescent="0.2">
      <c r="A60" s="3">
        <v>30</v>
      </c>
      <c r="B60" s="3">
        <v>20</v>
      </c>
    </row>
    <row r="61" spans="1:2" x14ac:dyDescent="0.2">
      <c r="A61" s="3">
        <v>44</v>
      </c>
      <c r="B61" s="3">
        <v>55</v>
      </c>
    </row>
    <row r="62" spans="1:2" x14ac:dyDescent="0.2">
      <c r="A62" s="3">
        <v>17</v>
      </c>
      <c r="B62" s="3">
        <v>32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7686-B149-4079-A879-8C0778B1AC0B}">
  <dimension ref="A1:G6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4.83203125" style="3" customWidth="1"/>
    <col min="2" max="2" width="30" style="3" bestFit="1" customWidth="1"/>
    <col min="3" max="3" width="30.6640625" bestFit="1" customWidth="1"/>
    <col min="5" max="5" width="26.5" bestFit="1" customWidth="1"/>
    <col min="6" max="6" width="16.6640625" bestFit="1" customWidth="1"/>
    <col min="7" max="7" width="12" bestFit="1" customWidth="1"/>
  </cols>
  <sheetData>
    <row r="1" spans="1:7" x14ac:dyDescent="0.2">
      <c r="A1" s="29" t="s">
        <v>48</v>
      </c>
      <c r="B1" s="27" t="s">
        <v>17</v>
      </c>
      <c r="C1" s="27" t="s">
        <v>18</v>
      </c>
      <c r="E1" s="14" t="s">
        <v>19</v>
      </c>
      <c r="F1" s="11" t="s">
        <v>20</v>
      </c>
    </row>
    <row r="2" spans="1:7" x14ac:dyDescent="0.2">
      <c r="A2" s="29"/>
      <c r="B2" s="27"/>
      <c r="C2" s="27"/>
      <c r="E2" s="12">
        <f>VAR(B3:B62)</f>
        <v>1006.8754237288134</v>
      </c>
      <c r="F2" s="13">
        <f>VAR(C3:C62)</f>
        <v>738.89378531073453</v>
      </c>
    </row>
    <row r="3" spans="1:7" x14ac:dyDescent="0.2">
      <c r="A3" s="3">
        <v>1</v>
      </c>
      <c r="B3" s="3">
        <v>52</v>
      </c>
      <c r="C3" s="3">
        <v>88</v>
      </c>
    </row>
    <row r="4" spans="1:7" x14ac:dyDescent="0.2">
      <c r="A4" s="3">
        <v>2</v>
      </c>
      <c r="B4" s="3">
        <v>31</v>
      </c>
      <c r="C4" s="3">
        <v>78</v>
      </c>
      <c r="E4" s="11" t="s">
        <v>21</v>
      </c>
    </row>
    <row r="5" spans="1:7" ht="16" thickBot="1" x14ac:dyDescent="0.25">
      <c r="A5" s="3">
        <v>3</v>
      </c>
      <c r="B5" s="3">
        <v>25</v>
      </c>
      <c r="C5" s="3">
        <v>85</v>
      </c>
    </row>
    <row r="6" spans="1:7" x14ac:dyDescent="0.2">
      <c r="A6" s="3">
        <v>4</v>
      </c>
      <c r="B6" s="3">
        <v>88</v>
      </c>
      <c r="C6" s="3">
        <v>81</v>
      </c>
      <c r="E6" s="9"/>
      <c r="F6" s="9" t="s">
        <v>28</v>
      </c>
      <c r="G6" s="9" t="s">
        <v>29</v>
      </c>
    </row>
    <row r="7" spans="1:7" x14ac:dyDescent="0.2">
      <c r="A7" s="3">
        <v>5</v>
      </c>
      <c r="B7" s="3">
        <v>9</v>
      </c>
      <c r="C7" s="3">
        <v>4</v>
      </c>
      <c r="E7" s="7" t="s">
        <v>7</v>
      </c>
      <c r="F7" s="7">
        <v>50.85</v>
      </c>
      <c r="G7" s="7">
        <v>48.56666666666667</v>
      </c>
    </row>
    <row r="8" spans="1:7" x14ac:dyDescent="0.2">
      <c r="A8" s="3">
        <v>6</v>
      </c>
      <c r="B8" s="3">
        <v>28</v>
      </c>
      <c r="C8" s="3">
        <v>2</v>
      </c>
      <c r="E8" s="10" t="s">
        <v>22</v>
      </c>
      <c r="F8" s="10">
        <v>1006.88</v>
      </c>
      <c r="G8" s="10">
        <v>738.89</v>
      </c>
    </row>
    <row r="9" spans="1:7" x14ac:dyDescent="0.2">
      <c r="A9" s="3">
        <v>7</v>
      </c>
      <c r="B9" s="3">
        <v>70</v>
      </c>
      <c r="C9" s="3">
        <v>4</v>
      </c>
      <c r="E9" s="7" t="s">
        <v>9</v>
      </c>
      <c r="F9" s="7">
        <v>60</v>
      </c>
      <c r="G9" s="7">
        <v>60</v>
      </c>
    </row>
    <row r="10" spans="1:7" x14ac:dyDescent="0.2">
      <c r="A10" s="3">
        <v>8</v>
      </c>
      <c r="B10" s="3">
        <v>91</v>
      </c>
      <c r="C10" s="3">
        <v>46</v>
      </c>
      <c r="E10" s="7" t="s">
        <v>10</v>
      </c>
      <c r="F10" s="7">
        <v>0</v>
      </c>
      <c r="G10" s="7"/>
    </row>
    <row r="11" spans="1:7" x14ac:dyDescent="0.2">
      <c r="A11" s="3">
        <v>9</v>
      </c>
      <c r="B11" s="3">
        <v>45</v>
      </c>
      <c r="C11" s="3">
        <v>99</v>
      </c>
      <c r="E11" s="7" t="s">
        <v>23</v>
      </c>
      <c r="F11" s="7">
        <v>0.42330308042669634</v>
      </c>
      <c r="G11" s="7"/>
    </row>
    <row r="12" spans="1:7" x14ac:dyDescent="0.2">
      <c r="A12" s="3">
        <v>10</v>
      </c>
      <c r="B12" s="3">
        <v>97</v>
      </c>
      <c r="C12" s="3">
        <v>45</v>
      </c>
      <c r="E12" s="10" t="s">
        <v>24</v>
      </c>
      <c r="F12" s="10">
        <v>0.33603707354784396</v>
      </c>
      <c r="G12" s="7"/>
    </row>
    <row r="13" spans="1:7" x14ac:dyDescent="0.2">
      <c r="A13" s="3">
        <v>11</v>
      </c>
      <c r="B13" s="3">
        <v>15</v>
      </c>
      <c r="C13" s="3">
        <v>42</v>
      </c>
      <c r="E13" s="7" t="s">
        <v>25</v>
      </c>
      <c r="F13" s="7">
        <v>1.6448536269514715</v>
      </c>
      <c r="G13" s="7"/>
    </row>
    <row r="14" spans="1:7" x14ac:dyDescent="0.2">
      <c r="A14" s="3">
        <v>12</v>
      </c>
      <c r="B14" s="3">
        <v>4</v>
      </c>
      <c r="C14" s="3">
        <v>39</v>
      </c>
      <c r="E14" s="10" t="s">
        <v>26</v>
      </c>
      <c r="F14" s="10">
        <v>0.67207414709568791</v>
      </c>
      <c r="G14" s="7"/>
    </row>
    <row r="15" spans="1:7" ht="16" thickBot="1" x14ac:dyDescent="0.25">
      <c r="A15" s="3">
        <v>13</v>
      </c>
      <c r="B15" s="3">
        <v>71</v>
      </c>
      <c r="C15" s="3">
        <v>42</v>
      </c>
      <c r="E15" s="8" t="s">
        <v>27</v>
      </c>
      <c r="F15" s="8">
        <v>1.9599639845400536</v>
      </c>
      <c r="G15" s="8"/>
    </row>
    <row r="16" spans="1:7" x14ac:dyDescent="0.2">
      <c r="A16" s="3">
        <v>14</v>
      </c>
      <c r="B16" s="3">
        <v>44</v>
      </c>
      <c r="C16" s="3">
        <v>81</v>
      </c>
    </row>
    <row r="17" spans="1:3" x14ac:dyDescent="0.2">
      <c r="A17" s="3">
        <v>15</v>
      </c>
      <c r="B17" s="3">
        <v>7</v>
      </c>
      <c r="C17" s="3">
        <v>51</v>
      </c>
    </row>
    <row r="18" spans="1:3" x14ac:dyDescent="0.2">
      <c r="A18" s="3">
        <v>16</v>
      </c>
      <c r="B18" s="3">
        <v>16</v>
      </c>
      <c r="C18" s="3">
        <v>8</v>
      </c>
    </row>
    <row r="19" spans="1:3" x14ac:dyDescent="0.2">
      <c r="A19" s="3">
        <v>17</v>
      </c>
      <c r="B19" s="3">
        <v>50</v>
      </c>
      <c r="C19" s="3">
        <v>83</v>
      </c>
    </row>
    <row r="20" spans="1:3" x14ac:dyDescent="0.2">
      <c r="A20" s="3">
        <v>18</v>
      </c>
      <c r="B20" s="3">
        <v>92</v>
      </c>
      <c r="C20" s="3">
        <v>11</v>
      </c>
    </row>
    <row r="21" spans="1:3" x14ac:dyDescent="0.2">
      <c r="A21" s="3">
        <v>19</v>
      </c>
      <c r="B21" s="3">
        <v>2</v>
      </c>
      <c r="C21" s="3">
        <v>66</v>
      </c>
    </row>
    <row r="22" spans="1:3" x14ac:dyDescent="0.2">
      <c r="A22" s="3">
        <v>20</v>
      </c>
      <c r="B22" s="3">
        <v>31</v>
      </c>
      <c r="C22" s="3">
        <v>89</v>
      </c>
    </row>
    <row r="23" spans="1:3" x14ac:dyDescent="0.2">
      <c r="A23" s="3">
        <v>21</v>
      </c>
      <c r="B23" s="3">
        <v>63</v>
      </c>
      <c r="C23" s="3">
        <v>62</v>
      </c>
    </row>
    <row r="24" spans="1:3" x14ac:dyDescent="0.2">
      <c r="A24" s="3">
        <v>22</v>
      </c>
      <c r="B24" s="3">
        <v>49</v>
      </c>
      <c r="C24" s="3">
        <v>13</v>
      </c>
    </row>
    <row r="25" spans="1:3" x14ac:dyDescent="0.2">
      <c r="A25" s="3">
        <v>23</v>
      </c>
      <c r="B25" s="3">
        <v>18</v>
      </c>
      <c r="C25" s="3">
        <v>19</v>
      </c>
    </row>
    <row r="26" spans="1:3" x14ac:dyDescent="0.2">
      <c r="A26" s="3">
        <v>24</v>
      </c>
      <c r="B26" s="3">
        <v>15</v>
      </c>
      <c r="C26" s="3">
        <v>90</v>
      </c>
    </row>
    <row r="27" spans="1:3" x14ac:dyDescent="0.2">
      <c r="A27" s="3">
        <v>25</v>
      </c>
      <c r="B27" s="3">
        <v>36</v>
      </c>
      <c r="C27" s="3">
        <v>19</v>
      </c>
    </row>
    <row r="28" spans="1:3" x14ac:dyDescent="0.2">
      <c r="A28" s="3">
        <v>26</v>
      </c>
      <c r="B28" s="3">
        <v>44</v>
      </c>
      <c r="C28" s="3">
        <v>65</v>
      </c>
    </row>
    <row r="29" spans="1:3" x14ac:dyDescent="0.2">
      <c r="A29" s="3">
        <v>27</v>
      </c>
      <c r="B29" s="3">
        <v>66</v>
      </c>
      <c r="C29" s="3">
        <v>46</v>
      </c>
    </row>
    <row r="30" spans="1:3" x14ac:dyDescent="0.2">
      <c r="A30" s="3">
        <v>28</v>
      </c>
      <c r="B30" s="3">
        <v>82</v>
      </c>
      <c r="C30" s="3">
        <v>36</v>
      </c>
    </row>
    <row r="31" spans="1:3" x14ac:dyDescent="0.2">
      <c r="A31" s="3">
        <v>29</v>
      </c>
      <c r="B31" s="3">
        <v>77</v>
      </c>
      <c r="C31" s="3">
        <v>86</v>
      </c>
    </row>
    <row r="32" spans="1:3" x14ac:dyDescent="0.2">
      <c r="A32" s="3">
        <v>30</v>
      </c>
      <c r="B32" s="3">
        <v>90</v>
      </c>
      <c r="C32" s="3">
        <v>28</v>
      </c>
    </row>
    <row r="33" spans="1:3" x14ac:dyDescent="0.2">
      <c r="A33" s="3">
        <v>31</v>
      </c>
      <c r="B33" s="3">
        <v>89</v>
      </c>
      <c r="C33" s="3">
        <v>57</v>
      </c>
    </row>
    <row r="34" spans="1:3" x14ac:dyDescent="0.2">
      <c r="A34" s="3">
        <v>32</v>
      </c>
      <c r="B34" s="3">
        <v>45</v>
      </c>
      <c r="C34" s="3">
        <v>73</v>
      </c>
    </row>
    <row r="35" spans="1:3" x14ac:dyDescent="0.2">
      <c r="A35" s="3">
        <v>33</v>
      </c>
      <c r="B35" s="3">
        <v>0</v>
      </c>
      <c r="C35" s="3">
        <v>30</v>
      </c>
    </row>
    <row r="36" spans="1:3" x14ac:dyDescent="0.2">
      <c r="A36" s="3">
        <v>34</v>
      </c>
      <c r="B36" s="3">
        <v>76</v>
      </c>
      <c r="C36" s="3">
        <v>59</v>
      </c>
    </row>
    <row r="37" spans="1:3" x14ac:dyDescent="0.2">
      <c r="A37" s="3">
        <v>35</v>
      </c>
      <c r="B37" s="3">
        <v>19</v>
      </c>
      <c r="C37" s="3">
        <v>37</v>
      </c>
    </row>
    <row r="38" spans="1:3" x14ac:dyDescent="0.2">
      <c r="A38" s="3">
        <v>36</v>
      </c>
      <c r="B38" s="3">
        <v>30</v>
      </c>
      <c r="C38" s="3">
        <v>41</v>
      </c>
    </row>
    <row r="39" spans="1:3" x14ac:dyDescent="0.2">
      <c r="A39" s="3">
        <v>37</v>
      </c>
      <c r="B39" s="3">
        <v>70</v>
      </c>
      <c r="C39" s="3">
        <v>51</v>
      </c>
    </row>
    <row r="40" spans="1:3" x14ac:dyDescent="0.2">
      <c r="A40" s="3">
        <v>38</v>
      </c>
      <c r="B40" s="3">
        <v>14</v>
      </c>
      <c r="C40" s="3">
        <v>42</v>
      </c>
    </row>
    <row r="41" spans="1:3" x14ac:dyDescent="0.2">
      <c r="A41" s="3">
        <v>39</v>
      </c>
      <c r="B41" s="3">
        <v>80</v>
      </c>
      <c r="C41" s="3">
        <v>42</v>
      </c>
    </row>
    <row r="42" spans="1:3" x14ac:dyDescent="0.2">
      <c r="A42" s="3">
        <v>40</v>
      </c>
      <c r="B42" s="3">
        <v>4</v>
      </c>
      <c r="C42" s="3">
        <v>24</v>
      </c>
    </row>
    <row r="43" spans="1:3" x14ac:dyDescent="0.2">
      <c r="A43" s="3">
        <v>41</v>
      </c>
      <c r="B43" s="3">
        <v>10</v>
      </c>
      <c r="C43" s="3">
        <v>19</v>
      </c>
    </row>
    <row r="44" spans="1:3" x14ac:dyDescent="0.2">
      <c r="A44" s="3">
        <v>42</v>
      </c>
      <c r="B44" s="3">
        <v>82</v>
      </c>
      <c r="C44" s="3">
        <v>30</v>
      </c>
    </row>
    <row r="45" spans="1:3" x14ac:dyDescent="0.2">
      <c r="A45" s="3">
        <v>43</v>
      </c>
      <c r="B45" s="3">
        <v>61</v>
      </c>
      <c r="C45" s="3">
        <v>19</v>
      </c>
    </row>
    <row r="46" spans="1:3" x14ac:dyDescent="0.2">
      <c r="A46" s="3">
        <v>44</v>
      </c>
      <c r="B46" s="3">
        <v>85</v>
      </c>
      <c r="C46" s="3">
        <v>43</v>
      </c>
    </row>
    <row r="47" spans="1:3" x14ac:dyDescent="0.2">
      <c r="A47" s="3">
        <v>45</v>
      </c>
      <c r="B47" s="3">
        <v>98</v>
      </c>
      <c r="C47" s="3">
        <v>42</v>
      </c>
    </row>
    <row r="48" spans="1:3" x14ac:dyDescent="0.2">
      <c r="A48" s="3">
        <v>46</v>
      </c>
      <c r="B48" s="3">
        <v>69</v>
      </c>
      <c r="C48" s="3">
        <v>44</v>
      </c>
    </row>
    <row r="49" spans="1:3" x14ac:dyDescent="0.2">
      <c r="A49" s="3">
        <v>47</v>
      </c>
      <c r="B49" s="3">
        <v>54</v>
      </c>
      <c r="C49" s="3">
        <v>74</v>
      </c>
    </row>
    <row r="50" spans="1:3" x14ac:dyDescent="0.2">
      <c r="A50" s="3">
        <v>48</v>
      </c>
      <c r="B50" s="3">
        <v>51</v>
      </c>
      <c r="C50" s="3">
        <v>58</v>
      </c>
    </row>
    <row r="51" spans="1:3" x14ac:dyDescent="0.2">
      <c r="A51" s="3">
        <v>49</v>
      </c>
      <c r="B51" s="3">
        <v>81</v>
      </c>
      <c r="C51" s="3">
        <v>36</v>
      </c>
    </row>
    <row r="52" spans="1:3" x14ac:dyDescent="0.2">
      <c r="A52" s="3">
        <v>50</v>
      </c>
      <c r="B52" s="3">
        <v>6</v>
      </c>
      <c r="C52" s="3">
        <v>1</v>
      </c>
    </row>
    <row r="53" spans="1:3" x14ac:dyDescent="0.2">
      <c r="A53" s="3">
        <v>51</v>
      </c>
      <c r="B53" s="3">
        <v>75</v>
      </c>
      <c r="C53" s="3">
        <v>91</v>
      </c>
    </row>
    <row r="54" spans="1:3" x14ac:dyDescent="0.2">
      <c r="A54" s="3">
        <v>52</v>
      </c>
      <c r="B54" s="3">
        <v>97</v>
      </c>
      <c r="C54" s="3">
        <v>17</v>
      </c>
    </row>
    <row r="55" spans="1:3" x14ac:dyDescent="0.2">
      <c r="A55" s="3">
        <v>53</v>
      </c>
      <c r="B55" s="3">
        <v>87</v>
      </c>
      <c r="C55" s="3">
        <v>74</v>
      </c>
    </row>
    <row r="56" spans="1:3" x14ac:dyDescent="0.2">
      <c r="A56" s="3">
        <v>54</v>
      </c>
      <c r="B56" s="3">
        <v>77</v>
      </c>
      <c r="C56" s="3">
        <v>63</v>
      </c>
    </row>
    <row r="57" spans="1:3" x14ac:dyDescent="0.2">
      <c r="A57" s="3">
        <v>55</v>
      </c>
      <c r="B57" s="3">
        <v>19</v>
      </c>
      <c r="C57" s="3">
        <v>88</v>
      </c>
    </row>
    <row r="58" spans="1:3" x14ac:dyDescent="0.2">
      <c r="A58" s="3">
        <v>56</v>
      </c>
      <c r="B58" s="3">
        <v>94</v>
      </c>
      <c r="C58" s="3">
        <v>12</v>
      </c>
    </row>
    <row r="59" spans="1:3" x14ac:dyDescent="0.2">
      <c r="A59" s="3">
        <v>57</v>
      </c>
      <c r="B59" s="3">
        <v>8</v>
      </c>
      <c r="C59" s="3">
        <v>68</v>
      </c>
    </row>
    <row r="60" spans="1:3" x14ac:dyDescent="0.2">
      <c r="A60" s="3">
        <v>58</v>
      </c>
      <c r="B60" s="3">
        <v>99</v>
      </c>
      <c r="C60" s="3">
        <v>69</v>
      </c>
    </row>
    <row r="61" spans="1:3" x14ac:dyDescent="0.2">
      <c r="A61" s="3">
        <v>59</v>
      </c>
      <c r="B61" s="3">
        <v>32</v>
      </c>
      <c r="C61" s="3">
        <v>31</v>
      </c>
    </row>
    <row r="62" spans="1:3" x14ac:dyDescent="0.2">
      <c r="A62" s="3">
        <v>60</v>
      </c>
      <c r="B62" s="3">
        <v>31</v>
      </c>
      <c r="C62" s="3">
        <v>71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7ED5-91B2-4659-A4D5-7428B8F164EA}">
  <dimension ref="A1:G62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14.83203125" bestFit="1" customWidth="1"/>
    <col min="2" max="2" width="37.1640625" bestFit="1" customWidth="1"/>
    <col min="3" max="3" width="37.33203125" bestFit="1" customWidth="1"/>
    <col min="5" max="5" width="38.83203125" bestFit="1" customWidth="1"/>
    <col min="6" max="6" width="12.6640625" bestFit="1" customWidth="1"/>
    <col min="7" max="7" width="9.83203125" bestFit="1" customWidth="1"/>
  </cols>
  <sheetData>
    <row r="1" spans="1:7" x14ac:dyDescent="0.2">
      <c r="A1" s="29" t="s">
        <v>48</v>
      </c>
      <c r="B1" s="27" t="s">
        <v>30</v>
      </c>
      <c r="C1" s="27" t="s">
        <v>31</v>
      </c>
      <c r="E1" s="11" t="s">
        <v>32</v>
      </c>
    </row>
    <row r="2" spans="1:7" ht="16" thickBot="1" x14ac:dyDescent="0.25">
      <c r="A2" s="29"/>
      <c r="B2" s="27"/>
      <c r="C2" s="27"/>
    </row>
    <row r="3" spans="1:7" x14ac:dyDescent="0.2">
      <c r="A3" s="3">
        <v>1</v>
      </c>
      <c r="B3" s="3">
        <v>81</v>
      </c>
      <c r="C3" s="3">
        <v>4</v>
      </c>
      <c r="E3" s="9"/>
      <c r="F3" s="9" t="s">
        <v>34</v>
      </c>
      <c r="G3" s="9" t="s">
        <v>35</v>
      </c>
    </row>
    <row r="4" spans="1:7" x14ac:dyDescent="0.2">
      <c r="A4" s="3">
        <v>2</v>
      </c>
      <c r="B4" s="3">
        <v>25</v>
      </c>
      <c r="C4" s="3">
        <v>1</v>
      </c>
      <c r="E4" s="7" t="s">
        <v>7</v>
      </c>
      <c r="F4" s="7">
        <v>47.9</v>
      </c>
      <c r="G4" s="7">
        <v>42.18333333333333</v>
      </c>
    </row>
    <row r="5" spans="1:7" x14ac:dyDescent="0.2">
      <c r="A5" s="3">
        <v>3</v>
      </c>
      <c r="B5" s="3">
        <v>13</v>
      </c>
      <c r="C5" s="3">
        <v>48</v>
      </c>
      <c r="E5" s="10" t="s">
        <v>8</v>
      </c>
      <c r="F5" s="10">
        <v>940.70169491525417</v>
      </c>
      <c r="G5" s="10">
        <v>819.77937853107346</v>
      </c>
    </row>
    <row r="6" spans="1:7" x14ac:dyDescent="0.2">
      <c r="A6" s="3">
        <v>4</v>
      </c>
      <c r="B6" s="3">
        <v>9</v>
      </c>
      <c r="C6" s="3">
        <v>24</v>
      </c>
      <c r="E6" s="7" t="s">
        <v>9</v>
      </c>
      <c r="F6" s="7">
        <v>60</v>
      </c>
      <c r="G6" s="7">
        <v>60</v>
      </c>
    </row>
    <row r="7" spans="1:7" x14ac:dyDescent="0.2">
      <c r="A7" s="3">
        <v>5</v>
      </c>
      <c r="B7" s="3">
        <v>20</v>
      </c>
      <c r="C7" s="3">
        <v>34</v>
      </c>
      <c r="E7" s="7" t="s">
        <v>33</v>
      </c>
      <c r="F7" s="7">
        <v>880.24053672316381</v>
      </c>
      <c r="G7" s="7"/>
    </row>
    <row r="8" spans="1:7" x14ac:dyDescent="0.2">
      <c r="A8" s="3">
        <v>6</v>
      </c>
      <c r="B8" s="3">
        <v>8</v>
      </c>
      <c r="C8" s="3">
        <v>48</v>
      </c>
      <c r="E8" s="7" t="s">
        <v>10</v>
      </c>
      <c r="F8" s="7">
        <v>0</v>
      </c>
      <c r="G8" s="7"/>
    </row>
    <row r="9" spans="1:7" x14ac:dyDescent="0.2">
      <c r="A9" s="3">
        <v>7</v>
      </c>
      <c r="B9" s="3">
        <v>94</v>
      </c>
      <c r="C9" s="3">
        <v>27</v>
      </c>
      <c r="E9" s="7" t="s">
        <v>11</v>
      </c>
      <c r="F9" s="7">
        <v>118</v>
      </c>
      <c r="G9" s="7"/>
    </row>
    <row r="10" spans="1:7" x14ac:dyDescent="0.2">
      <c r="A10" s="3">
        <v>8</v>
      </c>
      <c r="B10" s="3">
        <v>65</v>
      </c>
      <c r="C10" s="3">
        <v>67</v>
      </c>
      <c r="E10" s="7" t="s">
        <v>12</v>
      </c>
      <c r="F10" s="7">
        <v>1.0553653097109792</v>
      </c>
      <c r="G10" s="7"/>
    </row>
    <row r="11" spans="1:7" x14ac:dyDescent="0.2">
      <c r="A11" s="3">
        <v>9</v>
      </c>
      <c r="B11" s="3">
        <v>90</v>
      </c>
      <c r="C11" s="3">
        <v>47</v>
      </c>
      <c r="E11" s="10" t="s">
        <v>13</v>
      </c>
      <c r="F11" s="10">
        <v>0.14670715209419247</v>
      </c>
      <c r="G11" s="7"/>
    </row>
    <row r="12" spans="1:7" x14ac:dyDescent="0.2">
      <c r="A12" s="3">
        <v>10</v>
      </c>
      <c r="B12" s="3">
        <v>42</v>
      </c>
      <c r="C12" s="3">
        <v>18</v>
      </c>
      <c r="E12" s="7" t="s">
        <v>14</v>
      </c>
      <c r="F12" s="7">
        <v>1.6578695221106927</v>
      </c>
      <c r="G12" s="7"/>
    </row>
    <row r="13" spans="1:7" x14ac:dyDescent="0.2">
      <c r="A13" s="3">
        <v>11</v>
      </c>
      <c r="B13" s="3">
        <v>17</v>
      </c>
      <c r="C13" s="3">
        <v>5</v>
      </c>
      <c r="E13" s="10" t="s">
        <v>15</v>
      </c>
      <c r="F13" s="10">
        <v>0.29341430418838493</v>
      </c>
      <c r="G13" s="7"/>
    </row>
    <row r="14" spans="1:7" ht="16" thickBot="1" x14ac:dyDescent="0.25">
      <c r="A14" s="3">
        <v>12</v>
      </c>
      <c r="B14" s="3">
        <v>82</v>
      </c>
      <c r="C14" s="3">
        <v>62</v>
      </c>
      <c r="E14" s="8" t="s">
        <v>16</v>
      </c>
      <c r="F14" s="8">
        <v>1.9802722492729716</v>
      </c>
      <c r="G14" s="8"/>
    </row>
    <row r="15" spans="1:7" x14ac:dyDescent="0.2">
      <c r="A15" s="3">
        <v>13</v>
      </c>
      <c r="B15" s="3">
        <v>43</v>
      </c>
      <c r="C15" s="3">
        <v>37</v>
      </c>
    </row>
    <row r="16" spans="1:7" x14ac:dyDescent="0.2">
      <c r="A16" s="3">
        <v>14</v>
      </c>
      <c r="B16" s="3">
        <v>71</v>
      </c>
      <c r="C16" s="3">
        <v>6</v>
      </c>
    </row>
    <row r="17" spans="1:3" x14ac:dyDescent="0.2">
      <c r="A17" s="3">
        <v>15</v>
      </c>
      <c r="B17" s="3">
        <v>33</v>
      </c>
      <c r="C17" s="3">
        <v>90</v>
      </c>
    </row>
    <row r="18" spans="1:3" x14ac:dyDescent="0.2">
      <c r="A18" s="3">
        <v>16</v>
      </c>
      <c r="B18" s="3">
        <v>18</v>
      </c>
      <c r="C18" s="3">
        <v>18</v>
      </c>
    </row>
    <row r="19" spans="1:3" x14ac:dyDescent="0.2">
      <c r="A19" s="3">
        <v>17</v>
      </c>
      <c r="B19" s="3">
        <v>23</v>
      </c>
      <c r="C19" s="3">
        <v>51</v>
      </c>
    </row>
    <row r="20" spans="1:3" x14ac:dyDescent="0.2">
      <c r="A20" s="3">
        <v>18</v>
      </c>
      <c r="B20" s="3">
        <v>17</v>
      </c>
      <c r="C20" s="3">
        <v>52</v>
      </c>
    </row>
    <row r="21" spans="1:3" x14ac:dyDescent="0.2">
      <c r="A21" s="3">
        <v>19</v>
      </c>
      <c r="B21" s="3">
        <v>57</v>
      </c>
      <c r="C21" s="3">
        <v>5</v>
      </c>
    </row>
    <row r="22" spans="1:3" x14ac:dyDescent="0.2">
      <c r="A22" s="3">
        <v>20</v>
      </c>
      <c r="B22" s="3">
        <v>28</v>
      </c>
      <c r="C22" s="3">
        <v>96</v>
      </c>
    </row>
    <row r="23" spans="1:3" x14ac:dyDescent="0.2">
      <c r="A23" s="3">
        <v>21</v>
      </c>
      <c r="B23" s="3">
        <v>96</v>
      </c>
      <c r="C23" s="3">
        <v>32</v>
      </c>
    </row>
    <row r="24" spans="1:3" x14ac:dyDescent="0.2">
      <c r="A24" s="3">
        <v>22</v>
      </c>
      <c r="B24" s="3">
        <v>55</v>
      </c>
      <c r="C24" s="3">
        <v>73</v>
      </c>
    </row>
    <row r="25" spans="1:3" x14ac:dyDescent="0.2">
      <c r="A25" s="3">
        <v>23</v>
      </c>
      <c r="B25" s="3">
        <v>63</v>
      </c>
      <c r="C25" s="3">
        <v>15</v>
      </c>
    </row>
    <row r="26" spans="1:3" x14ac:dyDescent="0.2">
      <c r="A26" s="3">
        <v>24</v>
      </c>
      <c r="B26" s="3">
        <v>94</v>
      </c>
      <c r="C26" s="3">
        <v>47</v>
      </c>
    </row>
    <row r="27" spans="1:3" x14ac:dyDescent="0.2">
      <c r="A27" s="3">
        <v>25</v>
      </c>
      <c r="B27" s="3">
        <v>44</v>
      </c>
      <c r="C27" s="3">
        <v>76</v>
      </c>
    </row>
    <row r="28" spans="1:3" x14ac:dyDescent="0.2">
      <c r="A28" s="3">
        <v>26</v>
      </c>
      <c r="B28" s="3">
        <v>47</v>
      </c>
      <c r="C28" s="3">
        <v>31</v>
      </c>
    </row>
    <row r="29" spans="1:3" x14ac:dyDescent="0.2">
      <c r="A29" s="3">
        <v>27</v>
      </c>
      <c r="B29" s="3">
        <v>81</v>
      </c>
      <c r="C29" s="3">
        <v>84</v>
      </c>
    </row>
    <row r="30" spans="1:3" x14ac:dyDescent="0.2">
      <c r="A30" s="3">
        <v>28</v>
      </c>
      <c r="B30" s="3">
        <v>7</v>
      </c>
      <c r="C30" s="3">
        <v>74</v>
      </c>
    </row>
    <row r="31" spans="1:3" x14ac:dyDescent="0.2">
      <c r="A31" s="3">
        <v>29</v>
      </c>
      <c r="B31" s="3">
        <v>23</v>
      </c>
      <c r="C31" s="3">
        <v>15</v>
      </c>
    </row>
    <row r="32" spans="1:3" x14ac:dyDescent="0.2">
      <c r="A32" s="3">
        <v>30</v>
      </c>
      <c r="B32" s="3">
        <v>3</v>
      </c>
      <c r="C32" s="3">
        <v>99</v>
      </c>
    </row>
    <row r="33" spans="1:3" x14ac:dyDescent="0.2">
      <c r="A33" s="3">
        <v>31</v>
      </c>
      <c r="B33" s="3">
        <v>87</v>
      </c>
      <c r="C33" s="3">
        <v>20</v>
      </c>
    </row>
    <row r="34" spans="1:3" x14ac:dyDescent="0.2">
      <c r="A34" s="3">
        <v>32</v>
      </c>
      <c r="B34" s="3">
        <v>7</v>
      </c>
      <c r="C34" s="3">
        <v>3</v>
      </c>
    </row>
    <row r="35" spans="1:3" x14ac:dyDescent="0.2">
      <c r="A35" s="3">
        <v>33</v>
      </c>
      <c r="B35" s="3">
        <v>13</v>
      </c>
      <c r="C35" s="3">
        <v>65</v>
      </c>
    </row>
    <row r="36" spans="1:3" x14ac:dyDescent="0.2">
      <c r="A36" s="3">
        <v>34</v>
      </c>
      <c r="B36" s="3">
        <v>66</v>
      </c>
      <c r="C36" s="3">
        <v>28</v>
      </c>
    </row>
    <row r="37" spans="1:3" x14ac:dyDescent="0.2">
      <c r="A37" s="3">
        <v>35</v>
      </c>
      <c r="B37" s="3">
        <v>39</v>
      </c>
      <c r="C37" s="3">
        <v>88</v>
      </c>
    </row>
    <row r="38" spans="1:3" x14ac:dyDescent="0.2">
      <c r="A38" s="3">
        <v>36</v>
      </c>
      <c r="B38" s="3">
        <v>35</v>
      </c>
      <c r="C38" s="3">
        <v>23</v>
      </c>
    </row>
    <row r="39" spans="1:3" x14ac:dyDescent="0.2">
      <c r="A39" s="3">
        <v>37</v>
      </c>
      <c r="B39" s="3">
        <v>1</v>
      </c>
      <c r="C39" s="3">
        <v>39</v>
      </c>
    </row>
    <row r="40" spans="1:3" x14ac:dyDescent="0.2">
      <c r="A40" s="3">
        <v>38</v>
      </c>
      <c r="B40" s="3">
        <v>99</v>
      </c>
      <c r="C40" s="3">
        <v>81</v>
      </c>
    </row>
    <row r="41" spans="1:3" x14ac:dyDescent="0.2">
      <c r="A41" s="3">
        <v>39</v>
      </c>
      <c r="B41" s="3">
        <v>72</v>
      </c>
      <c r="C41" s="3">
        <v>35</v>
      </c>
    </row>
    <row r="42" spans="1:3" x14ac:dyDescent="0.2">
      <c r="A42" s="3">
        <v>40</v>
      </c>
      <c r="B42" s="3">
        <v>32</v>
      </c>
      <c r="C42" s="3">
        <v>26</v>
      </c>
    </row>
    <row r="43" spans="1:3" x14ac:dyDescent="0.2">
      <c r="A43" s="3">
        <v>41</v>
      </c>
      <c r="B43" s="3">
        <v>3</v>
      </c>
      <c r="C43" s="3">
        <v>56</v>
      </c>
    </row>
    <row r="44" spans="1:3" x14ac:dyDescent="0.2">
      <c r="A44" s="3">
        <v>42</v>
      </c>
      <c r="B44" s="3">
        <v>42</v>
      </c>
      <c r="C44" s="3">
        <v>2</v>
      </c>
    </row>
    <row r="45" spans="1:3" x14ac:dyDescent="0.2">
      <c r="A45" s="3">
        <v>43</v>
      </c>
      <c r="B45" s="3">
        <v>90</v>
      </c>
      <c r="C45" s="3">
        <v>63</v>
      </c>
    </row>
    <row r="46" spans="1:3" x14ac:dyDescent="0.2">
      <c r="A46" s="3">
        <v>44</v>
      </c>
      <c r="B46" s="3">
        <v>88</v>
      </c>
      <c r="C46" s="3">
        <v>96</v>
      </c>
    </row>
    <row r="47" spans="1:3" x14ac:dyDescent="0.2">
      <c r="A47" s="3">
        <v>45</v>
      </c>
      <c r="B47" s="3">
        <v>51</v>
      </c>
      <c r="C47" s="3">
        <v>21</v>
      </c>
    </row>
    <row r="48" spans="1:3" x14ac:dyDescent="0.2">
      <c r="A48" s="3">
        <v>46</v>
      </c>
      <c r="B48" s="3">
        <v>99</v>
      </c>
      <c r="C48" s="3">
        <v>82</v>
      </c>
    </row>
    <row r="49" spans="1:3" x14ac:dyDescent="0.2">
      <c r="A49" s="3">
        <v>47</v>
      </c>
      <c r="B49" s="3">
        <v>24</v>
      </c>
      <c r="C49" s="3">
        <v>28</v>
      </c>
    </row>
    <row r="50" spans="1:3" x14ac:dyDescent="0.2">
      <c r="A50" s="3">
        <v>48</v>
      </c>
      <c r="B50" s="3">
        <v>36</v>
      </c>
      <c r="C50" s="3">
        <v>7</v>
      </c>
    </row>
    <row r="51" spans="1:3" x14ac:dyDescent="0.2">
      <c r="A51" s="3">
        <v>49</v>
      </c>
      <c r="B51" s="3">
        <v>51</v>
      </c>
      <c r="C51" s="3">
        <v>84</v>
      </c>
    </row>
    <row r="52" spans="1:3" x14ac:dyDescent="0.2">
      <c r="A52" s="3">
        <v>50</v>
      </c>
      <c r="B52" s="3">
        <v>83</v>
      </c>
      <c r="C52" s="3">
        <v>79</v>
      </c>
    </row>
    <row r="53" spans="1:3" x14ac:dyDescent="0.2">
      <c r="A53" s="3">
        <v>51</v>
      </c>
      <c r="B53" s="3">
        <v>97</v>
      </c>
      <c r="C53" s="3">
        <v>35</v>
      </c>
    </row>
    <row r="54" spans="1:3" x14ac:dyDescent="0.2">
      <c r="A54" s="3">
        <v>52</v>
      </c>
      <c r="B54" s="3">
        <v>24</v>
      </c>
      <c r="C54" s="3">
        <v>44</v>
      </c>
    </row>
    <row r="55" spans="1:3" x14ac:dyDescent="0.2">
      <c r="A55" s="3">
        <v>53</v>
      </c>
      <c r="B55" s="3">
        <v>35</v>
      </c>
      <c r="C55" s="3">
        <v>18</v>
      </c>
    </row>
    <row r="56" spans="1:3" x14ac:dyDescent="0.2">
      <c r="A56" s="3">
        <v>54</v>
      </c>
      <c r="B56" s="3">
        <v>23</v>
      </c>
      <c r="C56" s="3">
        <v>19</v>
      </c>
    </row>
    <row r="57" spans="1:3" x14ac:dyDescent="0.2">
      <c r="A57" s="3">
        <v>55</v>
      </c>
      <c r="B57" s="3">
        <v>65</v>
      </c>
      <c r="C57" s="3">
        <v>13</v>
      </c>
    </row>
    <row r="58" spans="1:3" x14ac:dyDescent="0.2">
      <c r="A58" s="3">
        <v>56</v>
      </c>
      <c r="B58" s="3">
        <v>89</v>
      </c>
      <c r="C58" s="3">
        <v>18</v>
      </c>
    </row>
    <row r="59" spans="1:3" x14ac:dyDescent="0.2">
      <c r="A59" s="3">
        <v>57</v>
      </c>
      <c r="B59" s="3">
        <v>83</v>
      </c>
      <c r="C59" s="3">
        <v>44</v>
      </c>
    </row>
    <row r="60" spans="1:3" x14ac:dyDescent="0.2">
      <c r="A60" s="3">
        <v>58</v>
      </c>
      <c r="B60" s="3">
        <v>28</v>
      </c>
      <c r="C60" s="3">
        <v>76</v>
      </c>
    </row>
    <row r="61" spans="1:3" x14ac:dyDescent="0.2">
      <c r="A61" s="3">
        <v>59</v>
      </c>
      <c r="B61" s="3">
        <v>29</v>
      </c>
      <c r="C61" s="3">
        <v>25</v>
      </c>
    </row>
    <row r="62" spans="1:3" x14ac:dyDescent="0.2">
      <c r="A62" s="3">
        <v>60</v>
      </c>
      <c r="B62" s="3">
        <v>34</v>
      </c>
      <c r="C62" s="3">
        <v>27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4D2A-DB9D-4905-AA32-2935583889B3}">
  <dimension ref="A1:G62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4.83203125" bestFit="1" customWidth="1"/>
    <col min="2" max="2" width="37.1640625" bestFit="1" customWidth="1"/>
    <col min="3" max="3" width="37.33203125" bestFit="1" customWidth="1"/>
    <col min="5" max="5" width="50.5" bestFit="1" customWidth="1"/>
    <col min="6" max="6" width="12.6640625" bestFit="1" customWidth="1"/>
    <col min="7" max="7" width="12" bestFit="1" customWidth="1"/>
  </cols>
  <sheetData>
    <row r="1" spans="1:7" x14ac:dyDescent="0.2">
      <c r="A1" s="29" t="s">
        <v>48</v>
      </c>
      <c r="B1" s="27" t="s">
        <v>36</v>
      </c>
      <c r="C1" s="27" t="s">
        <v>37</v>
      </c>
      <c r="E1" s="11" t="s">
        <v>4</v>
      </c>
    </row>
    <row r="2" spans="1:7" ht="16" thickBot="1" x14ac:dyDescent="0.25">
      <c r="A2" s="29"/>
      <c r="B2" s="27"/>
      <c r="C2" s="27"/>
    </row>
    <row r="3" spans="1:7" x14ac:dyDescent="0.2">
      <c r="A3" s="3">
        <v>1</v>
      </c>
      <c r="B3" s="3">
        <v>23</v>
      </c>
      <c r="C3" s="3">
        <v>26</v>
      </c>
      <c r="E3" s="9"/>
      <c r="F3" s="9" t="s">
        <v>5</v>
      </c>
      <c r="G3" s="9" t="s">
        <v>6</v>
      </c>
    </row>
    <row r="4" spans="1:7" x14ac:dyDescent="0.2">
      <c r="A4" s="3">
        <v>2</v>
      </c>
      <c r="B4" s="3">
        <v>37</v>
      </c>
      <c r="C4" s="3">
        <v>3</v>
      </c>
      <c r="E4" s="7" t="s">
        <v>7</v>
      </c>
      <c r="F4" s="7">
        <v>45.883333333333333</v>
      </c>
      <c r="G4" s="7">
        <v>51.5</v>
      </c>
    </row>
    <row r="5" spans="1:7" x14ac:dyDescent="0.2">
      <c r="A5" s="3">
        <v>3</v>
      </c>
      <c r="B5" s="3">
        <v>93</v>
      </c>
      <c r="C5" s="3">
        <v>61</v>
      </c>
      <c r="E5" s="10" t="s">
        <v>8</v>
      </c>
      <c r="F5" s="10">
        <v>700.20649717514129</v>
      </c>
      <c r="G5" s="10">
        <v>832.72881355932202</v>
      </c>
    </row>
    <row r="6" spans="1:7" x14ac:dyDescent="0.2">
      <c r="A6" s="3">
        <v>4</v>
      </c>
      <c r="B6" s="3">
        <v>98</v>
      </c>
      <c r="C6" s="3">
        <v>95</v>
      </c>
      <c r="E6" s="7" t="s">
        <v>9</v>
      </c>
      <c r="F6" s="7">
        <v>60</v>
      </c>
      <c r="G6" s="7">
        <v>60</v>
      </c>
    </row>
    <row r="7" spans="1:7" x14ac:dyDescent="0.2">
      <c r="A7" s="3">
        <v>5</v>
      </c>
      <c r="B7" s="3">
        <v>79</v>
      </c>
      <c r="C7" s="3">
        <v>34</v>
      </c>
      <c r="E7" s="7" t="s">
        <v>10</v>
      </c>
      <c r="F7" s="7">
        <v>0</v>
      </c>
      <c r="G7" s="7"/>
    </row>
    <row r="8" spans="1:7" x14ac:dyDescent="0.2">
      <c r="A8" s="3">
        <v>6</v>
      </c>
      <c r="B8" s="3">
        <v>12</v>
      </c>
      <c r="C8" s="3">
        <v>36</v>
      </c>
      <c r="E8" s="7" t="s">
        <v>11</v>
      </c>
      <c r="F8" s="7">
        <v>117</v>
      </c>
      <c r="G8" s="7"/>
    </row>
    <row r="9" spans="1:7" x14ac:dyDescent="0.2">
      <c r="A9" s="3">
        <v>7</v>
      </c>
      <c r="B9" s="3">
        <v>16</v>
      </c>
      <c r="C9" s="3">
        <v>77</v>
      </c>
      <c r="E9" s="7" t="s">
        <v>12</v>
      </c>
      <c r="F9" s="7">
        <v>-1.1112003296986701</v>
      </c>
      <c r="G9" s="7"/>
    </row>
    <row r="10" spans="1:7" x14ac:dyDescent="0.2">
      <c r="A10" s="3">
        <v>8</v>
      </c>
      <c r="B10" s="3">
        <v>7</v>
      </c>
      <c r="C10" s="3">
        <v>80</v>
      </c>
      <c r="E10" s="10" t="s">
        <v>13</v>
      </c>
      <c r="F10" s="10">
        <v>0.13438020692076577</v>
      </c>
      <c r="G10" s="7"/>
    </row>
    <row r="11" spans="1:7" x14ac:dyDescent="0.2">
      <c r="A11" s="3">
        <v>9</v>
      </c>
      <c r="B11" s="3">
        <v>54</v>
      </c>
      <c r="C11" s="3">
        <v>61</v>
      </c>
      <c r="E11" s="7" t="s">
        <v>14</v>
      </c>
      <c r="F11" s="7">
        <v>1.6579816587133522</v>
      </c>
      <c r="G11" s="7"/>
    </row>
    <row r="12" spans="1:7" x14ac:dyDescent="0.2">
      <c r="A12" s="3">
        <v>10</v>
      </c>
      <c r="B12" s="3">
        <v>42</v>
      </c>
      <c r="C12" s="3">
        <v>61</v>
      </c>
      <c r="E12" s="10" t="s">
        <v>15</v>
      </c>
      <c r="F12" s="10">
        <v>0.26876041384153154</v>
      </c>
      <c r="G12" s="7"/>
    </row>
    <row r="13" spans="1:7" ht="16" thickBot="1" x14ac:dyDescent="0.25">
      <c r="A13" s="3">
        <v>11</v>
      </c>
      <c r="B13" s="3">
        <v>70</v>
      </c>
      <c r="C13" s="3">
        <v>75</v>
      </c>
      <c r="E13" s="8" t="s">
        <v>16</v>
      </c>
      <c r="F13" s="8">
        <v>1.9804475986834036</v>
      </c>
      <c r="G13" s="8"/>
    </row>
    <row r="14" spans="1:7" x14ac:dyDescent="0.2">
      <c r="A14" s="3">
        <v>12</v>
      </c>
      <c r="B14" s="3">
        <v>30</v>
      </c>
      <c r="C14" s="3">
        <v>91</v>
      </c>
    </row>
    <row r="15" spans="1:7" x14ac:dyDescent="0.2">
      <c r="A15" s="3">
        <v>13</v>
      </c>
      <c r="B15" s="3">
        <v>19</v>
      </c>
      <c r="C15" s="3">
        <v>30</v>
      </c>
      <c r="E15" s="15"/>
    </row>
    <row r="16" spans="1:7" x14ac:dyDescent="0.2">
      <c r="A16" s="3">
        <v>14</v>
      </c>
      <c r="B16" s="3">
        <v>92</v>
      </c>
      <c r="C16" s="3">
        <v>68</v>
      </c>
    </row>
    <row r="17" spans="1:3" x14ac:dyDescent="0.2">
      <c r="A17" s="3">
        <v>15</v>
      </c>
      <c r="B17" s="3">
        <v>84</v>
      </c>
      <c r="C17" s="3">
        <v>78</v>
      </c>
    </row>
    <row r="18" spans="1:3" x14ac:dyDescent="0.2">
      <c r="A18" s="3">
        <v>16</v>
      </c>
      <c r="B18" s="3">
        <v>47</v>
      </c>
      <c r="C18" s="3">
        <v>63</v>
      </c>
    </row>
    <row r="19" spans="1:3" x14ac:dyDescent="0.2">
      <c r="A19" s="3">
        <v>17</v>
      </c>
      <c r="B19" s="3">
        <v>53</v>
      </c>
      <c r="C19" s="3">
        <v>92</v>
      </c>
    </row>
    <row r="20" spans="1:3" x14ac:dyDescent="0.2">
      <c r="A20" s="3">
        <v>18</v>
      </c>
      <c r="B20" s="3">
        <v>36</v>
      </c>
      <c r="C20" s="3">
        <v>81</v>
      </c>
    </row>
    <row r="21" spans="1:3" x14ac:dyDescent="0.2">
      <c r="A21" s="3">
        <v>19</v>
      </c>
      <c r="B21" s="3">
        <v>19</v>
      </c>
      <c r="C21" s="3">
        <v>30</v>
      </c>
    </row>
    <row r="22" spans="1:3" x14ac:dyDescent="0.2">
      <c r="A22" s="3">
        <v>20</v>
      </c>
      <c r="B22" s="3">
        <v>70</v>
      </c>
      <c r="C22" s="3">
        <v>84</v>
      </c>
    </row>
    <row r="23" spans="1:3" x14ac:dyDescent="0.2">
      <c r="A23" s="3">
        <v>21</v>
      </c>
      <c r="B23" s="3">
        <v>82</v>
      </c>
      <c r="C23" s="3">
        <v>20</v>
      </c>
    </row>
    <row r="24" spans="1:3" x14ac:dyDescent="0.2">
      <c r="A24" s="3">
        <v>22</v>
      </c>
      <c r="B24" s="3">
        <v>11</v>
      </c>
      <c r="C24" s="3">
        <v>54</v>
      </c>
    </row>
    <row r="25" spans="1:3" x14ac:dyDescent="0.2">
      <c r="A25" s="3">
        <v>23</v>
      </c>
      <c r="B25" s="3">
        <v>63</v>
      </c>
      <c r="C25" s="3">
        <v>74</v>
      </c>
    </row>
    <row r="26" spans="1:3" x14ac:dyDescent="0.2">
      <c r="A26" s="3">
        <v>24</v>
      </c>
      <c r="B26" s="3">
        <v>25</v>
      </c>
      <c r="C26" s="3">
        <v>56</v>
      </c>
    </row>
    <row r="27" spans="1:3" x14ac:dyDescent="0.2">
      <c r="A27" s="3">
        <v>25</v>
      </c>
      <c r="B27" s="3">
        <v>3</v>
      </c>
      <c r="C27" s="3">
        <v>24</v>
      </c>
    </row>
    <row r="28" spans="1:3" x14ac:dyDescent="0.2">
      <c r="A28" s="3">
        <v>26</v>
      </c>
      <c r="B28" s="3">
        <v>31</v>
      </c>
      <c r="C28" s="3">
        <v>7</v>
      </c>
    </row>
    <row r="29" spans="1:3" x14ac:dyDescent="0.2">
      <c r="A29" s="3">
        <v>27</v>
      </c>
      <c r="B29" s="3">
        <v>43</v>
      </c>
      <c r="C29" s="3">
        <v>79</v>
      </c>
    </row>
    <row r="30" spans="1:3" x14ac:dyDescent="0.2">
      <c r="A30" s="3">
        <v>28</v>
      </c>
      <c r="B30" s="3">
        <v>33</v>
      </c>
      <c r="C30" s="3">
        <v>56</v>
      </c>
    </row>
    <row r="31" spans="1:3" x14ac:dyDescent="0.2">
      <c r="A31" s="3">
        <v>29</v>
      </c>
      <c r="B31" s="3">
        <v>10</v>
      </c>
      <c r="C31" s="3">
        <v>40</v>
      </c>
    </row>
    <row r="32" spans="1:3" x14ac:dyDescent="0.2">
      <c r="A32" s="3">
        <v>30</v>
      </c>
      <c r="B32" s="3">
        <v>28</v>
      </c>
      <c r="C32" s="3">
        <v>12</v>
      </c>
    </row>
    <row r="33" spans="1:3" x14ac:dyDescent="0.2">
      <c r="A33" s="3">
        <v>31</v>
      </c>
      <c r="B33" s="3">
        <v>84</v>
      </c>
      <c r="C33" s="3">
        <v>33</v>
      </c>
    </row>
    <row r="34" spans="1:3" x14ac:dyDescent="0.2">
      <c r="A34" s="3">
        <v>32</v>
      </c>
      <c r="B34" s="3">
        <v>18</v>
      </c>
      <c r="C34" s="3">
        <v>83</v>
      </c>
    </row>
    <row r="35" spans="1:3" x14ac:dyDescent="0.2">
      <c r="A35" s="3">
        <v>33</v>
      </c>
      <c r="B35" s="3">
        <v>39</v>
      </c>
      <c r="C35" s="3">
        <v>23</v>
      </c>
    </row>
    <row r="36" spans="1:3" x14ac:dyDescent="0.2">
      <c r="A36" s="3">
        <v>34</v>
      </c>
      <c r="B36" s="3">
        <v>41</v>
      </c>
      <c r="C36" s="3">
        <v>64</v>
      </c>
    </row>
    <row r="37" spans="1:3" x14ac:dyDescent="0.2">
      <c r="A37" s="3">
        <v>35</v>
      </c>
      <c r="B37" s="3">
        <v>49</v>
      </c>
      <c r="C37" s="3">
        <v>76</v>
      </c>
    </row>
    <row r="38" spans="1:3" x14ac:dyDescent="0.2">
      <c r="A38" s="3">
        <v>36</v>
      </c>
      <c r="B38" s="3">
        <v>83</v>
      </c>
      <c r="C38" s="3">
        <v>67</v>
      </c>
    </row>
    <row r="39" spans="1:3" x14ac:dyDescent="0.2">
      <c r="A39" s="3">
        <v>37</v>
      </c>
      <c r="B39" s="3">
        <v>72</v>
      </c>
      <c r="C39" s="3">
        <v>83</v>
      </c>
    </row>
    <row r="40" spans="1:3" x14ac:dyDescent="0.2">
      <c r="A40" s="3">
        <v>38</v>
      </c>
      <c r="B40" s="3">
        <v>53</v>
      </c>
      <c r="C40" s="3">
        <v>56</v>
      </c>
    </row>
    <row r="41" spans="1:3" x14ac:dyDescent="0.2">
      <c r="A41" s="3">
        <v>39</v>
      </c>
      <c r="B41" s="3">
        <v>93</v>
      </c>
      <c r="C41" s="3">
        <v>0</v>
      </c>
    </row>
    <row r="42" spans="1:3" x14ac:dyDescent="0.2">
      <c r="A42" s="3">
        <v>40</v>
      </c>
      <c r="B42" s="3">
        <v>33</v>
      </c>
      <c r="C42" s="3">
        <v>24</v>
      </c>
    </row>
    <row r="43" spans="1:3" x14ac:dyDescent="0.2">
      <c r="A43" s="3">
        <v>41</v>
      </c>
      <c r="B43" s="3">
        <v>41</v>
      </c>
      <c r="C43" s="3">
        <v>23</v>
      </c>
    </row>
    <row r="44" spans="1:3" x14ac:dyDescent="0.2">
      <c r="A44" s="3">
        <v>42</v>
      </c>
      <c r="B44" s="3">
        <v>32</v>
      </c>
      <c r="C44" s="3">
        <v>89</v>
      </c>
    </row>
    <row r="45" spans="1:3" x14ac:dyDescent="0.2">
      <c r="A45" s="3">
        <v>43</v>
      </c>
      <c r="B45" s="3">
        <v>79</v>
      </c>
      <c r="C45" s="3">
        <v>55</v>
      </c>
    </row>
    <row r="46" spans="1:3" x14ac:dyDescent="0.2">
      <c r="A46" s="3">
        <v>44</v>
      </c>
      <c r="B46" s="3">
        <v>22</v>
      </c>
      <c r="C46" s="3">
        <v>96</v>
      </c>
    </row>
    <row r="47" spans="1:3" x14ac:dyDescent="0.2">
      <c r="A47" s="3">
        <v>45</v>
      </c>
      <c r="B47" s="3">
        <v>75</v>
      </c>
      <c r="C47" s="3">
        <v>1</v>
      </c>
    </row>
    <row r="48" spans="1:3" x14ac:dyDescent="0.2">
      <c r="A48" s="3">
        <v>46</v>
      </c>
      <c r="B48" s="3">
        <v>60</v>
      </c>
      <c r="C48" s="3">
        <v>42</v>
      </c>
    </row>
    <row r="49" spans="1:3" x14ac:dyDescent="0.2">
      <c r="A49" s="3">
        <v>47</v>
      </c>
      <c r="B49" s="3">
        <v>24</v>
      </c>
      <c r="C49" s="3">
        <v>26</v>
      </c>
    </row>
    <row r="50" spans="1:3" x14ac:dyDescent="0.2">
      <c r="A50" s="3">
        <v>48</v>
      </c>
      <c r="B50" s="3">
        <v>45</v>
      </c>
      <c r="C50" s="3">
        <v>5</v>
      </c>
    </row>
    <row r="51" spans="1:3" x14ac:dyDescent="0.2">
      <c r="A51" s="3">
        <v>49</v>
      </c>
      <c r="B51" s="3">
        <v>26</v>
      </c>
      <c r="C51" s="3">
        <v>59</v>
      </c>
    </row>
    <row r="52" spans="1:3" x14ac:dyDescent="0.2">
      <c r="A52" s="3">
        <v>50</v>
      </c>
      <c r="B52" s="3">
        <v>13</v>
      </c>
      <c r="C52" s="3">
        <v>75</v>
      </c>
    </row>
    <row r="53" spans="1:3" x14ac:dyDescent="0.2">
      <c r="A53" s="3">
        <v>51</v>
      </c>
      <c r="B53" s="3">
        <v>26</v>
      </c>
      <c r="C53" s="3">
        <v>14</v>
      </c>
    </row>
    <row r="54" spans="1:3" x14ac:dyDescent="0.2">
      <c r="A54" s="3">
        <v>52</v>
      </c>
      <c r="B54" s="3">
        <v>74</v>
      </c>
      <c r="C54" s="3">
        <v>81</v>
      </c>
    </row>
    <row r="55" spans="1:3" x14ac:dyDescent="0.2">
      <c r="A55" s="3">
        <v>53</v>
      </c>
      <c r="B55" s="3">
        <v>16</v>
      </c>
      <c r="C55" s="3">
        <v>15</v>
      </c>
    </row>
    <row r="56" spans="1:3" x14ac:dyDescent="0.2">
      <c r="A56" s="3">
        <v>54</v>
      </c>
      <c r="B56" s="3">
        <v>38</v>
      </c>
      <c r="C56" s="3">
        <v>88</v>
      </c>
    </row>
    <row r="57" spans="1:3" x14ac:dyDescent="0.2">
      <c r="A57" s="3">
        <v>55</v>
      </c>
      <c r="B57" s="3">
        <v>70</v>
      </c>
      <c r="C57" s="3">
        <v>18</v>
      </c>
    </row>
    <row r="58" spans="1:3" x14ac:dyDescent="0.2">
      <c r="A58" s="3">
        <v>56</v>
      </c>
      <c r="B58" s="3">
        <v>56</v>
      </c>
      <c r="C58" s="3">
        <v>39</v>
      </c>
    </row>
    <row r="59" spans="1:3" x14ac:dyDescent="0.2">
      <c r="A59" s="3">
        <v>57</v>
      </c>
      <c r="B59" s="3">
        <v>70</v>
      </c>
      <c r="C59" s="3">
        <v>51</v>
      </c>
    </row>
    <row r="60" spans="1:3" x14ac:dyDescent="0.2">
      <c r="A60" s="3">
        <v>58</v>
      </c>
      <c r="B60" s="3">
        <v>8</v>
      </c>
      <c r="C60" s="3">
        <v>37</v>
      </c>
    </row>
    <row r="61" spans="1:3" x14ac:dyDescent="0.2">
      <c r="A61" s="3">
        <v>59</v>
      </c>
      <c r="B61" s="3">
        <v>71</v>
      </c>
      <c r="C61" s="3">
        <v>99</v>
      </c>
    </row>
    <row r="62" spans="1:3" x14ac:dyDescent="0.2">
      <c r="A62" s="3">
        <v>60</v>
      </c>
      <c r="B62" s="3">
        <v>32</v>
      </c>
      <c r="C62" s="3">
        <v>20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D244-39CD-436B-BC81-907E8908D8A6}">
  <dimension ref="A1:G62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14.83203125" bestFit="1" customWidth="1"/>
    <col min="2" max="2" width="45.5" bestFit="1" customWidth="1"/>
    <col min="3" max="3" width="45.33203125" bestFit="1" customWidth="1"/>
    <col min="5" max="5" width="31.5" bestFit="1" customWidth="1"/>
    <col min="6" max="7" width="12" bestFit="1" customWidth="1"/>
  </cols>
  <sheetData>
    <row r="1" spans="1:7" x14ac:dyDescent="0.2">
      <c r="A1" s="29" t="s">
        <v>48</v>
      </c>
      <c r="B1" s="27" t="s">
        <v>38</v>
      </c>
      <c r="C1" s="27" t="s">
        <v>39</v>
      </c>
      <c r="E1" s="11" t="s">
        <v>40</v>
      </c>
    </row>
    <row r="2" spans="1:7" ht="16" thickBot="1" x14ac:dyDescent="0.25">
      <c r="A2" s="29"/>
      <c r="B2" s="27"/>
      <c r="C2" s="27"/>
    </row>
    <row r="3" spans="1:7" x14ac:dyDescent="0.2">
      <c r="A3" s="3">
        <v>1</v>
      </c>
      <c r="B3" s="3">
        <v>37</v>
      </c>
      <c r="C3" s="3">
        <v>58</v>
      </c>
      <c r="E3" s="9"/>
      <c r="F3" s="9" t="s">
        <v>42</v>
      </c>
      <c r="G3" s="9" t="s">
        <v>49</v>
      </c>
    </row>
    <row r="4" spans="1:7" x14ac:dyDescent="0.2">
      <c r="A4" s="3">
        <v>2</v>
      </c>
      <c r="B4" s="3">
        <v>91</v>
      </c>
      <c r="C4" s="3">
        <v>83</v>
      </c>
      <c r="E4" s="7" t="s">
        <v>7</v>
      </c>
      <c r="F4" s="7">
        <v>63.116666666666667</v>
      </c>
      <c r="G4" s="7">
        <v>70</v>
      </c>
    </row>
    <row r="5" spans="1:7" x14ac:dyDescent="0.2">
      <c r="A5" s="3">
        <v>3</v>
      </c>
      <c r="B5" s="3">
        <v>41</v>
      </c>
      <c r="C5" s="3">
        <v>62</v>
      </c>
      <c r="E5" s="10" t="s">
        <v>8</v>
      </c>
      <c r="F5" s="10">
        <v>466.17259887005628</v>
      </c>
      <c r="G5" s="10">
        <v>435.0169491525424</v>
      </c>
    </row>
    <row r="6" spans="1:7" x14ac:dyDescent="0.2">
      <c r="A6" s="3">
        <v>4</v>
      </c>
      <c r="B6" s="3">
        <v>85</v>
      </c>
      <c r="C6" s="3">
        <v>42</v>
      </c>
      <c r="E6" s="7" t="s">
        <v>9</v>
      </c>
      <c r="F6" s="7">
        <v>60</v>
      </c>
      <c r="G6" s="7">
        <v>60</v>
      </c>
    </row>
    <row r="7" spans="1:7" x14ac:dyDescent="0.2">
      <c r="A7" s="3">
        <v>5</v>
      </c>
      <c r="B7" s="3">
        <v>66</v>
      </c>
      <c r="C7" s="3">
        <v>90</v>
      </c>
      <c r="E7" s="7" t="s">
        <v>41</v>
      </c>
      <c r="F7" s="7">
        <v>0.23034190277675581</v>
      </c>
      <c r="G7" s="7"/>
    </row>
    <row r="8" spans="1:7" x14ac:dyDescent="0.2">
      <c r="A8" s="3">
        <v>6</v>
      </c>
      <c r="B8" s="3">
        <v>94</v>
      </c>
      <c r="C8" s="3">
        <v>34</v>
      </c>
      <c r="E8" s="7" t="s">
        <v>10</v>
      </c>
      <c r="F8" s="7">
        <v>0</v>
      </c>
      <c r="G8" s="7"/>
    </row>
    <row r="9" spans="1:7" x14ac:dyDescent="0.2">
      <c r="A9" s="3">
        <v>7</v>
      </c>
      <c r="B9" s="3">
        <v>76</v>
      </c>
      <c r="C9" s="3">
        <v>57</v>
      </c>
      <c r="E9" s="7" t="s">
        <v>11</v>
      </c>
      <c r="F9" s="7">
        <v>59</v>
      </c>
      <c r="G9" s="7"/>
    </row>
    <row r="10" spans="1:7" x14ac:dyDescent="0.2">
      <c r="A10" s="3">
        <v>8</v>
      </c>
      <c r="B10" s="3">
        <v>73</v>
      </c>
      <c r="C10" s="3">
        <v>92</v>
      </c>
      <c r="E10" s="7" t="s">
        <v>12</v>
      </c>
      <c r="F10" s="7">
        <v>-2.0243173031490138</v>
      </c>
      <c r="G10" s="7"/>
    </row>
    <row r="11" spans="1:7" x14ac:dyDescent="0.2">
      <c r="A11" s="3">
        <v>9</v>
      </c>
      <c r="B11" s="3">
        <v>65</v>
      </c>
      <c r="C11" s="3">
        <v>66</v>
      </c>
      <c r="E11" s="10" t="s">
        <v>13</v>
      </c>
      <c r="F11" s="10">
        <v>2.3736115013582405E-2</v>
      </c>
      <c r="G11" s="7"/>
    </row>
    <row r="12" spans="1:7" x14ac:dyDescent="0.2">
      <c r="A12" s="3">
        <v>10</v>
      </c>
      <c r="B12" s="3">
        <v>75</v>
      </c>
      <c r="C12" s="3">
        <v>82</v>
      </c>
      <c r="E12" s="7" t="s">
        <v>14</v>
      </c>
      <c r="F12" s="7">
        <v>1.6710930321038957</v>
      </c>
      <c r="G12" s="7"/>
    </row>
    <row r="13" spans="1:7" x14ac:dyDescent="0.2">
      <c r="A13" s="3">
        <v>11</v>
      </c>
      <c r="B13" s="3">
        <v>41</v>
      </c>
      <c r="C13" s="3">
        <v>55</v>
      </c>
      <c r="E13" s="10" t="s">
        <v>15</v>
      </c>
      <c r="F13" s="10">
        <v>4.7472230027164809E-2</v>
      </c>
      <c r="G13" s="7"/>
    </row>
    <row r="14" spans="1:7" ht="16" thickBot="1" x14ac:dyDescent="0.25">
      <c r="A14" s="3">
        <v>12</v>
      </c>
      <c r="B14" s="3">
        <v>62</v>
      </c>
      <c r="C14" s="3">
        <v>25</v>
      </c>
      <c r="E14" s="16" t="s">
        <v>16</v>
      </c>
      <c r="F14" s="8">
        <v>2.0009953780882688</v>
      </c>
      <c r="G14" s="8"/>
    </row>
    <row r="15" spans="1:7" x14ac:dyDescent="0.2">
      <c r="A15" s="3">
        <v>13</v>
      </c>
      <c r="B15" s="3">
        <v>36</v>
      </c>
      <c r="C15" s="3">
        <v>81</v>
      </c>
    </row>
    <row r="16" spans="1:7" x14ac:dyDescent="0.2">
      <c r="A16" s="3">
        <v>14</v>
      </c>
      <c r="B16" s="3">
        <v>97</v>
      </c>
      <c r="C16" s="3">
        <v>73</v>
      </c>
    </row>
    <row r="17" spans="1:3" x14ac:dyDescent="0.2">
      <c r="A17" s="3">
        <v>15</v>
      </c>
      <c r="B17" s="3">
        <v>51</v>
      </c>
      <c r="C17" s="3">
        <v>77</v>
      </c>
    </row>
    <row r="18" spans="1:3" x14ac:dyDescent="0.2">
      <c r="A18" s="3">
        <v>16</v>
      </c>
      <c r="B18" s="3">
        <v>89</v>
      </c>
      <c r="C18" s="3">
        <v>91</v>
      </c>
    </row>
    <row r="19" spans="1:3" x14ac:dyDescent="0.2">
      <c r="A19" s="3">
        <v>17</v>
      </c>
      <c r="B19" s="3">
        <v>34</v>
      </c>
      <c r="C19" s="3">
        <v>66</v>
      </c>
    </row>
    <row r="20" spans="1:3" x14ac:dyDescent="0.2">
      <c r="A20" s="3">
        <v>18</v>
      </c>
      <c r="B20" s="3">
        <v>76</v>
      </c>
      <c r="C20" s="3">
        <v>47</v>
      </c>
    </row>
    <row r="21" spans="1:3" x14ac:dyDescent="0.2">
      <c r="A21" s="3">
        <v>19</v>
      </c>
      <c r="B21" s="3">
        <v>20</v>
      </c>
      <c r="C21" s="3">
        <v>54</v>
      </c>
    </row>
    <row r="22" spans="1:3" x14ac:dyDescent="0.2">
      <c r="A22" s="3">
        <v>20</v>
      </c>
      <c r="B22" s="3">
        <v>67</v>
      </c>
      <c r="C22" s="3">
        <v>91</v>
      </c>
    </row>
    <row r="23" spans="1:3" x14ac:dyDescent="0.2">
      <c r="A23" s="3">
        <v>21</v>
      </c>
      <c r="B23" s="3">
        <v>88</v>
      </c>
      <c r="C23" s="3">
        <v>98</v>
      </c>
    </row>
    <row r="24" spans="1:3" x14ac:dyDescent="0.2">
      <c r="A24" s="3">
        <v>22</v>
      </c>
      <c r="B24" s="3">
        <v>46</v>
      </c>
      <c r="C24" s="3">
        <v>95</v>
      </c>
    </row>
    <row r="25" spans="1:3" x14ac:dyDescent="0.2">
      <c r="A25" s="3">
        <v>23</v>
      </c>
      <c r="B25" s="3">
        <v>70</v>
      </c>
      <c r="C25" s="3">
        <v>59</v>
      </c>
    </row>
    <row r="26" spans="1:3" x14ac:dyDescent="0.2">
      <c r="A26" s="3">
        <v>24</v>
      </c>
      <c r="B26" s="3">
        <v>42</v>
      </c>
      <c r="C26" s="3">
        <v>54</v>
      </c>
    </row>
    <row r="27" spans="1:3" x14ac:dyDescent="0.2">
      <c r="A27" s="3">
        <v>25</v>
      </c>
      <c r="B27" s="3">
        <v>41</v>
      </c>
      <c r="C27" s="3">
        <v>43</v>
      </c>
    </row>
    <row r="28" spans="1:3" x14ac:dyDescent="0.2">
      <c r="A28" s="3">
        <v>26</v>
      </c>
      <c r="B28" s="3">
        <v>33</v>
      </c>
      <c r="C28" s="3">
        <v>49</v>
      </c>
    </row>
    <row r="29" spans="1:3" x14ac:dyDescent="0.2">
      <c r="A29" s="3">
        <v>27</v>
      </c>
      <c r="B29" s="3">
        <v>43</v>
      </c>
      <c r="C29" s="3">
        <v>67</v>
      </c>
    </row>
    <row r="30" spans="1:3" x14ac:dyDescent="0.2">
      <c r="A30" s="3">
        <v>28</v>
      </c>
      <c r="B30" s="3">
        <v>74</v>
      </c>
      <c r="C30" s="3">
        <v>81</v>
      </c>
    </row>
    <row r="31" spans="1:3" x14ac:dyDescent="0.2">
      <c r="A31" s="3">
        <v>29</v>
      </c>
      <c r="B31" s="3">
        <v>62</v>
      </c>
      <c r="C31" s="3">
        <v>88</v>
      </c>
    </row>
    <row r="32" spans="1:3" x14ac:dyDescent="0.2">
      <c r="A32" s="3">
        <v>30</v>
      </c>
      <c r="B32" s="3">
        <v>78</v>
      </c>
      <c r="C32" s="3">
        <v>86</v>
      </c>
    </row>
    <row r="33" spans="1:3" x14ac:dyDescent="0.2">
      <c r="A33" s="3">
        <v>31</v>
      </c>
      <c r="B33" s="3">
        <v>52</v>
      </c>
      <c r="C33" s="3">
        <v>60</v>
      </c>
    </row>
    <row r="34" spans="1:3" x14ac:dyDescent="0.2">
      <c r="A34" s="3">
        <v>32</v>
      </c>
      <c r="B34" s="3">
        <v>30</v>
      </c>
      <c r="C34" s="3">
        <v>79</v>
      </c>
    </row>
    <row r="35" spans="1:3" x14ac:dyDescent="0.2">
      <c r="A35" s="3">
        <v>33</v>
      </c>
      <c r="B35" s="3">
        <v>81</v>
      </c>
      <c r="C35" s="3">
        <v>77</v>
      </c>
    </row>
    <row r="36" spans="1:3" x14ac:dyDescent="0.2">
      <c r="A36" s="3">
        <v>34</v>
      </c>
      <c r="B36" s="3">
        <v>52</v>
      </c>
      <c r="C36" s="3">
        <v>98</v>
      </c>
    </row>
    <row r="37" spans="1:3" x14ac:dyDescent="0.2">
      <c r="A37" s="3">
        <v>35</v>
      </c>
      <c r="B37" s="3">
        <v>87</v>
      </c>
      <c r="C37" s="3">
        <v>91</v>
      </c>
    </row>
    <row r="38" spans="1:3" x14ac:dyDescent="0.2">
      <c r="A38" s="3">
        <v>36</v>
      </c>
      <c r="B38" s="3">
        <v>51</v>
      </c>
      <c r="C38" s="3">
        <v>28</v>
      </c>
    </row>
    <row r="39" spans="1:3" x14ac:dyDescent="0.2">
      <c r="A39" s="3">
        <v>37</v>
      </c>
      <c r="B39" s="3">
        <v>68</v>
      </c>
      <c r="C39" s="3">
        <v>42</v>
      </c>
    </row>
    <row r="40" spans="1:3" x14ac:dyDescent="0.2">
      <c r="A40" s="3">
        <v>38</v>
      </c>
      <c r="B40" s="3">
        <v>45</v>
      </c>
      <c r="C40" s="3">
        <v>90</v>
      </c>
    </row>
    <row r="41" spans="1:3" x14ac:dyDescent="0.2">
      <c r="A41" s="3">
        <v>39</v>
      </c>
      <c r="B41" s="3">
        <v>42</v>
      </c>
      <c r="C41" s="3">
        <v>48</v>
      </c>
    </row>
    <row r="42" spans="1:3" x14ac:dyDescent="0.2">
      <c r="A42" s="3">
        <v>40</v>
      </c>
      <c r="B42" s="3">
        <v>31</v>
      </c>
      <c r="C42" s="3">
        <v>55</v>
      </c>
    </row>
    <row r="43" spans="1:3" x14ac:dyDescent="0.2">
      <c r="A43" s="3">
        <v>41</v>
      </c>
      <c r="B43" s="3">
        <v>82</v>
      </c>
      <c r="C43" s="3">
        <v>82</v>
      </c>
    </row>
    <row r="44" spans="1:3" x14ac:dyDescent="0.2">
      <c r="A44" s="3">
        <v>42</v>
      </c>
      <c r="B44" s="3">
        <v>98</v>
      </c>
      <c r="C44" s="3">
        <v>93</v>
      </c>
    </row>
    <row r="45" spans="1:3" x14ac:dyDescent="0.2">
      <c r="A45" s="3">
        <v>43</v>
      </c>
      <c r="B45" s="3">
        <v>74</v>
      </c>
      <c r="C45" s="3">
        <v>75</v>
      </c>
    </row>
    <row r="46" spans="1:3" x14ac:dyDescent="0.2">
      <c r="A46" s="3">
        <v>44</v>
      </c>
      <c r="B46" s="3">
        <v>30</v>
      </c>
      <c r="C46" s="3">
        <v>95</v>
      </c>
    </row>
    <row r="47" spans="1:3" x14ac:dyDescent="0.2">
      <c r="A47" s="3">
        <v>45</v>
      </c>
      <c r="B47" s="3">
        <v>48</v>
      </c>
      <c r="C47" s="3">
        <v>46</v>
      </c>
    </row>
    <row r="48" spans="1:3" x14ac:dyDescent="0.2">
      <c r="A48" s="3">
        <v>46</v>
      </c>
      <c r="B48" s="3">
        <v>82</v>
      </c>
      <c r="C48" s="3">
        <v>91</v>
      </c>
    </row>
    <row r="49" spans="1:3" x14ac:dyDescent="0.2">
      <c r="A49" s="3">
        <v>47</v>
      </c>
      <c r="B49" s="3">
        <v>99</v>
      </c>
      <c r="C49" s="3">
        <v>93</v>
      </c>
    </row>
    <row r="50" spans="1:3" x14ac:dyDescent="0.2">
      <c r="A50" s="3">
        <v>48</v>
      </c>
      <c r="B50" s="3">
        <v>95</v>
      </c>
      <c r="C50" s="3">
        <v>87</v>
      </c>
    </row>
    <row r="51" spans="1:3" x14ac:dyDescent="0.2">
      <c r="A51" s="3">
        <v>49</v>
      </c>
      <c r="B51" s="3">
        <v>79</v>
      </c>
      <c r="C51" s="3">
        <v>90</v>
      </c>
    </row>
    <row r="52" spans="1:3" x14ac:dyDescent="0.2">
      <c r="A52" s="3">
        <v>50</v>
      </c>
      <c r="B52" s="3">
        <v>50</v>
      </c>
      <c r="C52" s="3">
        <v>74</v>
      </c>
    </row>
    <row r="53" spans="1:3" x14ac:dyDescent="0.2">
      <c r="A53" s="3">
        <v>51</v>
      </c>
      <c r="B53" s="3">
        <v>48</v>
      </c>
      <c r="C53" s="3">
        <v>76</v>
      </c>
    </row>
    <row r="54" spans="1:3" x14ac:dyDescent="0.2">
      <c r="A54" s="3">
        <v>52</v>
      </c>
      <c r="B54" s="3">
        <v>46</v>
      </c>
      <c r="C54" s="3">
        <v>19</v>
      </c>
    </row>
    <row r="55" spans="1:3" x14ac:dyDescent="0.2">
      <c r="A55" s="3">
        <v>53</v>
      </c>
      <c r="B55" s="3">
        <v>61</v>
      </c>
      <c r="C55" s="3">
        <v>73</v>
      </c>
    </row>
    <row r="56" spans="1:3" x14ac:dyDescent="0.2">
      <c r="A56" s="3">
        <v>54</v>
      </c>
      <c r="B56" s="3">
        <v>65</v>
      </c>
      <c r="C56" s="3">
        <v>67</v>
      </c>
    </row>
    <row r="57" spans="1:3" x14ac:dyDescent="0.2">
      <c r="A57" s="3">
        <v>55</v>
      </c>
      <c r="B57" s="3">
        <v>52</v>
      </c>
      <c r="C57" s="3">
        <v>96</v>
      </c>
    </row>
    <row r="58" spans="1:3" x14ac:dyDescent="0.2">
      <c r="A58" s="3">
        <v>56</v>
      </c>
      <c r="B58" s="3">
        <v>60</v>
      </c>
      <c r="C58" s="3">
        <v>96</v>
      </c>
    </row>
    <row r="59" spans="1:3" x14ac:dyDescent="0.2">
      <c r="A59" s="3">
        <v>57</v>
      </c>
      <c r="B59" s="3">
        <v>46</v>
      </c>
      <c r="C59" s="3">
        <v>53</v>
      </c>
    </row>
    <row r="60" spans="1:3" x14ac:dyDescent="0.2">
      <c r="A60" s="3">
        <v>58</v>
      </c>
      <c r="B60" s="3">
        <v>94</v>
      </c>
      <c r="C60" s="3">
        <v>78</v>
      </c>
    </row>
    <row r="61" spans="1:3" x14ac:dyDescent="0.2">
      <c r="A61" s="3">
        <v>59</v>
      </c>
      <c r="B61" s="3">
        <v>87</v>
      </c>
      <c r="C61" s="3">
        <v>66</v>
      </c>
    </row>
    <row r="62" spans="1:3" x14ac:dyDescent="0.2">
      <c r="A62" s="3">
        <v>60</v>
      </c>
      <c r="B62" s="3">
        <v>99</v>
      </c>
      <c r="C62" s="3">
        <v>36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Z Test</vt:lpstr>
      <vt:lpstr>T Test Unequal Variances</vt:lpstr>
      <vt:lpstr>Z Test Two Sample for Means</vt:lpstr>
      <vt:lpstr>T Test Two Sample Equal Var </vt:lpstr>
      <vt:lpstr>T Test Two Sample Unequal Var</vt:lpstr>
      <vt:lpstr>T Test Paired Two Sample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</dc:creator>
  <cp:lastModifiedBy>Microsoft Office User</cp:lastModifiedBy>
  <dcterms:created xsi:type="dcterms:W3CDTF">2021-10-15T13:08:54Z</dcterms:created>
  <dcterms:modified xsi:type="dcterms:W3CDTF">2021-10-17T17:40:29Z</dcterms:modified>
</cp:coreProperties>
</file>